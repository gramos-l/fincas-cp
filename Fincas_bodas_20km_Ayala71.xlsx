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icha interactiva" sheetId="2" state="visible" r:id="rId4"/>
    <sheet name="Fincas 20 km" sheetId="3" state="visible" r:id="rId5"/>
    <sheet name="Justo fuera 20-24 km" sheetId="4" state="visible" r:id="rId6"/>
    <sheet name="Otros espacios" sheetId="5" state="visible" r:id="rId7"/>
    <sheet name="Notas" sheetId="6" state="visible" r:id="rId8"/>
  </sheets>
  <definedNames>
    <definedName function="false" hidden="true" localSheetId="2" name="_xlnm._FilterDatabase" vbProcedure="false">'Fincas 20 km'!$A$1:$AJ$39</definedName>
    <definedName function="false" hidden="true" localSheetId="3" name="_xlnm._FilterDatabase" vbProcedure="false">'Justo fuera 20-24 km'!$A$1:$P$14</definedName>
    <definedName function="false" hidden="true" localSheetId="4" name="_xlnm._FilterDatabase" vbProcedure="false">'Otros espacios'!$A$1:$P$7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<sst xmlns="http://schemas.openxmlformats.org/spreadsheetml/2006/main" count="1150" uniqueCount="773">
  <si>
    <t xml:space="preserve">Fincas de boda cerca de Ayala 71 · Madrid</t>
  </si>
  <si>
    <t xml:space="preserve">ESPACIOS</t>
  </si>
  <si>
    <t xml:space="preserve">MÁS CERCANO</t>
  </si>
  <si>
    <t xml:space="preserve">MENÚ MEDIO «DESDE»</t>
  </si>
  <si>
    <t xml:space="preserve">CATERING LIBRE / LISTA</t>
  </si>
  <si>
    <t xml:space="preserve">TIEMPO MEDIO EN COCHE</t>
  </si>
  <si>
    <t xml:space="preserve">dentro del radio</t>
  </si>
  <si>
    <t xml:space="preserve">Precio y tiempo de llegada</t>
  </si>
  <si>
    <t xml:space="preserve">Aforo y tipo de catering</t>
  </si>
  <si>
    <t xml:space="preserve">Cómo leerlo: casi todos los espacios del radio tienen catering propio, así que el precio «desde» incluye comida. Los minutos son una estimación (distancia × factor carretera ÷ velocidad, ajustables en «Notas»). Pulsa «Ver ruta y tiempo» para abrir Google Maps con el tiempo real a la hora que quieras.</t>
  </si>
  <si>
    <t xml:space="preserve">Instagram: no he podido verificar cuentas con seguridad, así que no he escrito ninguna de memoria. En la hoja «Fincas 20 km» (columna AI) pega el @usuario y aquí aparecerá el enlace; mientras tanto, «Buscar en Instagram» abre una búsqueda directa.</t>
  </si>
  <si>
    <t xml:space="preserve">Ficha rápida de cada espacio (ordenados de más cerca a más lejos)</t>
  </si>
  <si>
    <t xml:space="preserve">Espacio</t>
  </si>
  <si>
    <t xml:space="preserve">Km</t>
  </si>
  <si>
    <t xml:space="preserve">Min. coche</t>
  </si>
  <si>
    <t xml:space="preserve">Menú desde</t>
  </si>
  <si>
    <t xml:space="preserve">Aforo máx.</t>
  </si>
  <si>
    <t xml:space="preserve">Catering</t>
  </si>
  <si>
    <t xml:space="preserve">Nota Google</t>
  </si>
  <si>
    <t xml:space="preserve">Instagram</t>
  </si>
  <si>
    <t xml:space="preserve">Ruta en vivo</t>
  </si>
  <si>
    <t xml:space="preserve">Tipo de catering</t>
  </si>
  <si>
    <t xml:space="preserve">Nº</t>
  </si>
  <si>
    <t xml:space="preserve">Propio / exclusivo</t>
  </si>
  <si>
    <t xml:space="preserve">Libre o lista</t>
  </si>
  <si>
    <t xml:space="preserve">Por consultar</t>
  </si>
  <si>
    <t xml:space="preserve">Ficha interactiva de finca</t>
  </si>
  <si>
    <t xml:space="preserve">Elige una finca en la celda amarilla y cambia los parámetros: todo se recalcula solo.</t>
  </si>
  <si>
    <t xml:space="preserve">Datos auxiliares (no tocar)</t>
  </si>
  <si>
    <t xml:space="preserve">Precio publicado</t>
  </si>
  <si>
    <t xml:space="preserve">FINCA ▸</t>
  </si>
  <si>
    <t xml:space="preserve">El Jardín de Ventas</t>
  </si>
  <si>
    <t xml:space="preserve">nº en lista</t>
  </si>
  <si>
    <t xml:space="preserve">Aforo mín.</t>
  </si>
  <si>
    <t xml:space="preserve">Tus parámetros (celdas amarillas)</t>
  </si>
  <si>
    <t xml:space="preserve">Km en línea recta</t>
  </si>
  <si>
    <t xml:space="preserve">Invitados</t>
  </si>
  <si>
    <t xml:space="preserve">IVA (%)</t>
  </si>
  <si>
    <t xml:space="preserve">Precio usado</t>
  </si>
  <si>
    <t xml:space="preserve">Precio por invitado (€) · vacío = el publicado</t>
  </si>
  <si>
    <t xml:space="preserve">Factor carretera / línea recta</t>
  </si>
  <si>
    <t xml:space="preserve">Extras por invitado (€) · barra libre extra, recena…</t>
  </si>
  <si>
    <t xml:space="preserve">Velocidad media (km/h)</t>
  </si>
  <si>
    <t xml:space="preserve">Minutos elegida</t>
  </si>
  <si>
    <t xml:space="preserve">Costes fijos (€) · alquiler, DJ, flores…</t>
  </si>
  <si>
    <t xml:space="preserve">Menú elegida (usado)</t>
  </si>
  <si>
    <t xml:space="preserve">Finca</t>
  </si>
  <si>
    <t xml:space="preserve">Minutos</t>
  </si>
  <si>
    <t xml:space="preserve">Total (otras)</t>
  </si>
  <si>
    <t xml:space="preserve">Total (elegida)</t>
  </si>
  <si>
    <t xml:space="preserve">COSTE TOTAL ESTIMADO</t>
  </si>
  <si>
    <t xml:space="preserve">POR INVITADO</t>
  </si>
  <si>
    <t xml:space="preserve">EN COCHE (ESTIM.)</t>
  </si>
  <si>
    <t xml:space="preserve">DISTANCIA EN LÍNEA RECTA</t>
  </si>
  <si>
    <t xml:space="preserve">mismo dato que el Excel</t>
  </si>
  <si>
    <t xml:space="preserve">Desglose del coste</t>
  </si>
  <si>
    <t xml:space="preserve">Menú (invitados × precio)</t>
  </si>
  <si>
    <t xml:space="preserve">Extras</t>
  </si>
  <si>
    <t xml:space="preserve">Costes fijos</t>
  </si>
  <si>
    <t xml:space="preserve">TOTAL (con IVA)</t>
  </si>
  <si>
    <t xml:space="preserve">  de los cuales, IVA</t>
  </si>
  <si>
    <t xml:space="preserve">Ficha de la finca</t>
  </si>
  <si>
    <t xml:space="preserve">Tipo de espacio</t>
  </si>
  <si>
    <t xml:space="preserve">Zona</t>
  </si>
  <si>
    <t xml:space="preserve">Dirección</t>
  </si>
  <si>
    <t xml:space="preserve">Aforo</t>
  </si>
  <si>
    <t xml:space="preserve">Catering (quién lo da)</t>
  </si>
  <si>
    <t xml:space="preserve">¿Catering libre?</t>
  </si>
  <si>
    <t xml:space="preserve">Salones y espacios</t>
  </si>
  <si>
    <t xml:space="preserve">¿Un salón o varios?</t>
  </si>
  <si>
    <t xml:space="preserve">Terraza / jardín</t>
  </si>
  <si>
    <t xml:space="preserve">Cuarto o zona de novios</t>
  </si>
  <si>
    <t xml:space="preserve">Ceremonia en la finca</t>
  </si>
  <si>
    <t xml:space="preserve">Alojamiento</t>
  </si>
  <si>
    <t xml:space="preserve">Parking</t>
  </si>
  <si>
    <t xml:space="preserve">Horario / eventos al día</t>
  </si>
  <si>
    <t xml:space="preserve">Observaciones</t>
  </si>
  <si>
    <t xml:space="preserve">Teléfono</t>
  </si>
  <si>
    <t xml:space="preserve">Valoración</t>
  </si>
  <si>
    <t xml:space="preserve">Enlaces</t>
  </si>
  <si>
    <t xml:space="preserve">Dónde queda frente a las demás</t>
  </si>
  <si>
    <t xml:space="preserve">Nombre</t>
  </si>
  <si>
    <t xml:space="preserve">Zona / municipio</t>
  </si>
  <si>
    <t xml:space="preserve">Distancia en línea recta (km)</t>
  </si>
  <si>
    <t xml:space="preserve">¿Dentro del radio?</t>
  </si>
  <si>
    <t xml:space="preserve">Precio orientativo</t>
  </si>
  <si>
    <t xml:space="preserve">Precio menú desde (€/invitado)</t>
  </si>
  <si>
    <t xml:space="preserve">Aforo (detalle)</t>
  </si>
  <si>
    <t xml:space="preserve">Salones / espacios</t>
  </si>
  <si>
    <t xml:space="preserve">Horario / nº eventos</t>
  </si>
  <si>
    <t xml:space="preserve">Google (nota)</t>
  </si>
  <si>
    <t xml:space="preserve">Google (nº reseñas)</t>
  </si>
  <si>
    <t xml:space="preserve">bodas.net (nota y opiniones)</t>
  </si>
  <si>
    <t xml:space="preserve">Fuente principal</t>
  </si>
  <si>
    <t xml:space="preserve">Ver en Google Maps</t>
  </si>
  <si>
    <t xml:space="preserve">Latitud</t>
  </si>
  <si>
    <t xml:space="preserve">Longitud</t>
  </si>
  <si>
    <t xml:space="preserve">Tiempo estimado en coche (min)</t>
  </si>
  <si>
    <t xml:space="preserve">Ruta en Google Maps (tiempo real)</t>
  </si>
  <si>
    <t xml:space="preserve">Instagram (@usuario)</t>
  </si>
  <si>
    <t xml:space="preserve">Instagram: abrir / buscar</t>
  </si>
  <si>
    <t xml:space="preserve">Jardín del hotel NH Madrid Ventas</t>
  </si>
  <si>
    <t xml:space="preserve">Madrid – Ventas (Salamanca)</t>
  </si>
  <si>
    <t xml:space="preserve">C/ de Biarritz 2, 28028 Madrid</t>
  </si>
  <si>
    <t xml:space="preserve">Menú desde 76 € (promoción bodas.net); facturación mínima 9.000 €</t>
  </si>
  <si>
    <t xml:space="preserve">No publicado</t>
  </si>
  <si>
    <t xml:space="preserve">Cocina del hotel NH Ventas</t>
  </si>
  <si>
    <t xml:space="preserve">No (catering del hotel); tarta propia permitida</t>
  </si>
  <si>
    <t xml:space="preserve">Jardín (ceremonia civil y cóctel) + terraza reformada + salón del hotel; banquete también al aire libre</t>
  </si>
  <si>
    <t xml:space="preserve">Varios</t>
  </si>
  <si>
    <t xml:space="preserve">Sí (jardín y terraza recién reformada)</t>
  </si>
  <si>
    <t xml:space="preserve">Sí – habitaciones del hotel</t>
  </si>
  <si>
    <t xml:space="preserve">Sí</t>
  </si>
  <si>
    <t xml:space="preserve">Sí (hotel NH)</t>
  </si>
  <si>
    <t xml:space="preserve">No consta</t>
  </si>
  <si>
    <t xml:space="preserve">El más céntrico de la lista (evita autobús). Opiniones destacan al wedding planner (Roberto) y que es LGTBI+ y vegan friendly.</t>
  </si>
  <si>
    <t xml:space="preserve">4,9 (161)</t>
  </si>
  <si>
    <t xml:space="preserve">+34 913 61 02 88</t>
  </si>
  <si>
    <t xml:space="preserve">https://www.bodas.net/hoteles/jardin-de-ventas--e7903</t>
  </si>
  <si>
    <t xml:space="preserve">Real Fábrica de Tapices &amp; El Puchero de Plata</t>
  </si>
  <si>
    <t xml:space="preserve">Espacio histórico con jardines (Patrimonio Nacional)</t>
  </si>
  <si>
    <t xml:space="preserve">Madrid – Retiro</t>
  </si>
  <si>
    <t xml:space="preserve">C/ Fuenterrabía 2, 28014 Madrid</t>
  </si>
  <si>
    <t xml:space="preserve">Menú desde 138 €/invitado</t>
  </si>
  <si>
    <t xml:space="preserve">Hasta 450</t>
  </si>
  <si>
    <t xml:space="preserve">El Puchero de Plata (catering asociado al espacio)</t>
  </si>
  <si>
    <t xml:space="preserve">No (catering asociado) – confirmar</t>
  </si>
  <si>
    <t xml:space="preserve">Varias salas y zonas + jardines cuidados</t>
  </si>
  <si>
    <t xml:space="preserve">Sí (jardines)</t>
  </si>
  <si>
    <t xml:space="preserve">No consta – preguntar</t>
  </si>
  <si>
    <t xml:space="preserve">Sí (se puede montar la ceremonia en el lugar)</t>
  </si>
  <si>
    <t xml:space="preserve">No</t>
  </si>
  <si>
    <t xml:space="preserve">Fábrica de tapices s. XVIII en activo. Céntrico.</t>
  </si>
  <si>
    <t xml:space="preserve">4,9 (174)</t>
  </si>
  <si>
    <t xml:space="preserve">+34 914 34 05 50</t>
  </si>
  <si>
    <t xml:space="preserve">https://www.bodas.net/fincas/real-fabrica-de-tapices-&amp;-el-puchero-de-plata--e76351</t>
  </si>
  <si>
    <t xml:space="preserve">La Quinta by Madrid Catering</t>
  </si>
  <si>
    <t xml:space="preserve">Quinta / finca urbana</t>
  </si>
  <si>
    <t xml:space="preserve">Madrid – Hortaleza</t>
  </si>
  <si>
    <t xml:space="preserve">C/ de Belisana 17, 28043 Madrid</t>
  </si>
  <si>
    <t xml:space="preserve">Menús 14–100 €/invitado según bodas.net (el tramo bajo será infantil/cóctel; pedir presupuesto)</t>
  </si>
  <si>
    <t xml:space="preserve">10–165</t>
  </si>
  <si>
    <t xml:space="preserve">Madrid Catering (diseñan menú, decoración y coordinación)</t>
  </si>
  <si>
    <t xml:space="preserve">No (catering de la casa)</t>
  </si>
  <si>
    <t xml:space="preserve">Finca con jardín y espacios interiores; montaje y decoración personalizables</t>
  </si>
  <si>
    <t xml:space="preserve">Consultar</t>
  </si>
  <si>
    <t xml:space="preserve">Sí (jardín)</t>
  </si>
  <si>
    <t xml:space="preserve">Eventos a medida con coordinación integral el día de la boda. Opiniones destacan la flexibilidad.</t>
  </si>
  <si>
    <t xml:space="preserve">—</t>
  </si>
  <si>
    <t xml:space="preserve">+34 722 75 66 03</t>
  </si>
  <si>
    <t xml:space="preserve">https://www.bodas.net/salones-de-boda/la-quinta-by-madrid-catering--e252629</t>
  </si>
  <si>
    <t xml:space="preserve">Quinta de los Molinos by Elba</t>
  </si>
  <si>
    <t xml:space="preserve">Hotel con jardines (junto al parque Quinta de los Molinos)</t>
  </si>
  <si>
    <t xml:space="preserve">Madrid – San Blas</t>
  </si>
  <si>
    <t xml:space="preserve">C/ de Alcalá 476, 28027 Madrid</t>
  </si>
  <si>
    <t xml:space="preserve">Desde 60 invitados (máx. no publicado)</t>
  </si>
  <si>
    <t xml:space="preserve">Cocina del hotel</t>
  </si>
  <si>
    <t xml:space="preserve">No (catering del hotel)</t>
  </si>
  <si>
    <t xml:space="preserve">Varias instalaciones: ceremonia, cóctel y banquete en espacios distintos; jardín y terraza</t>
  </si>
  <si>
    <t xml:space="preserve">Sí (jardín y terraza)</t>
  </si>
  <si>
    <t xml:space="preserve">Sí (hotel)</t>
  </si>
  <si>
    <t xml:space="preserve">Sí (gestionan plazas)</t>
  </si>
  <si>
    <t xml:space="preserve">Boda campestre sin salir de la ciudad; flexibles con menús, cócteles y horas de barra libre.</t>
  </si>
  <si>
    <t xml:space="preserve">4,8 (44)</t>
  </si>
  <si>
    <t xml:space="preserve">+34 913 75 68 07</t>
  </si>
  <si>
    <t xml:space="preserve">https://www.bodas.net/fincas/quinta-de-los-molinos-by-elba--e109054</t>
  </si>
  <si>
    <t xml:space="preserve">Palacete / Complejo Duques de Pastrana</t>
  </si>
  <si>
    <t xml:space="preserve">Palacete s. XIX con jardines</t>
  </si>
  <si>
    <t xml:space="preserve">Madrid – Chamartín</t>
  </si>
  <si>
    <t xml:space="preserve">P.º de la Habana 208 / C/ Platerías 2, 28016 Madrid</t>
  </si>
  <si>
    <t xml:space="preserve">No publicado (pedir presupuesto)</t>
  </si>
  <si>
    <t xml:space="preserve">Jardines del palacete: 220 banquete / 500 cóctel; otros jardines 500; Sala Polivalente 740</t>
  </si>
  <si>
    <t xml:space="preserve">Vilaplana Catering (Compass Group), que gestiona los eventos del complejo</t>
  </si>
  <si>
    <t xml:space="preserve">No (catering del complejo)</t>
  </si>
  <si>
    <t xml:space="preserve">Palacete (Sala Roja 150, Balcones 125, Verde 110) + Sala Polivalente + salas de exposiciones + auditorio; 17 salas</t>
  </si>
  <si>
    <t xml:space="preserve">Sí (porche de columnas y 1.200 m² de jardines)</t>
  </si>
  <si>
    <t xml:space="preserve">Hay salas pequeñas en el palacete – preguntar</t>
  </si>
  <si>
    <t xml:space="preserve">Monumento de Interés Cultural; metro Duque de Pastrana (L9) al lado. Ofrecen también wedding planner y decoración. Contacto: comercial@complejoduquesdepastrana.es</t>
  </si>
  <si>
    <t xml:space="preserve">+34 913 53 61 51</t>
  </si>
  <si>
    <t xml:space="preserve">https://www.timeout.es/madrid/es/que-hacer/palacio-duques-de-pastrana</t>
  </si>
  <si>
    <t xml:space="preserve">Café de Oriente Museo del Traje</t>
  </si>
  <si>
    <t xml:space="preserve">Museo con terrazas y jardín</t>
  </si>
  <si>
    <t xml:space="preserve">Madrid – Moncloa (Ciudad Universitaria)</t>
  </si>
  <si>
    <t xml:space="preserve">Av. de Juan de Herrera 2, 28040 Madrid</t>
  </si>
  <si>
    <t xml:space="preserve">Menú desde 140 €/invitado (promoción todo incluido desde 170 €)</t>
  </si>
  <si>
    <t xml:space="preserve">50–700</t>
  </si>
  <si>
    <t xml:space="preserve">Café de Oriente / Alabardero Catering</t>
  </si>
  <si>
    <t xml:space="preserve">Varios: Sala Oriente, Terraza Oriente, Terraza Balenciaga, espacio Cardenal Cisneros</t>
  </si>
  <si>
    <t xml:space="preserve">Sí (varias terrazas)</t>
  </si>
  <si>
    <t xml:space="preserve">Buena opción para bodas tipo cóctel con puestos temáticos.</t>
  </si>
  <si>
    <t xml:space="preserve">4,8 (57)</t>
  </si>
  <si>
    <t xml:space="preserve">+34 915 50 20 55</t>
  </si>
  <si>
    <t xml:space="preserve">https://www.bodas.net/fincas/cafe-de-oriente-museo-del-traje--e47950</t>
  </si>
  <si>
    <t xml:space="preserve">Casa de Burgos</t>
  </si>
  <si>
    <t xml:space="preserve">Castillo-pabellón con jardín (Casa de Campo)</t>
  </si>
  <si>
    <t xml:space="preserve">Madrid – Casa de Campo</t>
  </si>
  <si>
    <t xml:space="preserve">C/ Principal de Provincias 3, 28011 Madrid</t>
  </si>
  <si>
    <t xml:space="preserve">Menú desde 100 €/invitado</t>
  </si>
  <si>
    <t xml:space="preserve">50–350 (ficha de eventos: hasta 400 banquete / 630 cóctel)</t>
  </si>
  <si>
    <t xml:space="preserve">Grupo Araceli ("Casa de Burgos de Araceli")</t>
  </si>
  <si>
    <t xml:space="preserve">Salón principal (450 m²) + salones Lavanda (60 m²) y Jazmín (50 m²) + patio porticado + jardín 800 m²</t>
  </si>
  <si>
    <t xml:space="preserve">Sí – jardín/terraza con vistas al Palacio Real y la Almudena</t>
  </si>
  <si>
    <t xml:space="preserve">2 salones pequeños (Lavanda/Jazmín) – preguntar si se ceden a los novios</t>
  </si>
  <si>
    <t xml:space="preserve">Sí (jardín con vistas)</t>
  </si>
  <si>
    <t xml:space="preserve">Réplica de castillo s. XIV construida en 1953-56 para la Feria del Campo.</t>
  </si>
  <si>
    <t xml:space="preserve">4,9 (201)</t>
  </si>
  <si>
    <t xml:space="preserve">+34 914 64 40 77</t>
  </si>
  <si>
    <t xml:space="preserve">https://www.bodas.net/fincas/casa-de-burgos--e121847</t>
  </si>
  <si>
    <t xml:space="preserve">La Masía de José Luis</t>
  </si>
  <si>
    <t xml:space="preserve">Finca urbana con jardín</t>
  </si>
  <si>
    <t xml:space="preserve">Madrid – Casa de Campo (Puerta del Ángel)</t>
  </si>
  <si>
    <t xml:space="preserve">P.º de la Puerta del Ángel 3, 28011 Madrid</t>
  </si>
  <si>
    <t xml:space="preserve">Menú desde 140 €/invitado</t>
  </si>
  <si>
    <t xml:space="preserve">60–440</t>
  </si>
  <si>
    <t xml:space="preserve">Grupo José Luis (catering propio)</t>
  </si>
  <si>
    <t xml:space="preserve">Varios: Zaguán, Invernadero, Salón Espejos (mesa imperial), carpa; 2.500 m² de jardín y terrazas</t>
  </si>
  <si>
    <t xml:space="preserve">Sí (jardín y terrazas)</t>
  </si>
  <si>
    <t xml:space="preserve">Finca de 2.828 m² rodeada de vegetación.</t>
  </si>
  <si>
    <t xml:space="preserve">4,9 (91)</t>
  </si>
  <si>
    <t xml:space="preserve">+34 914 79 86 15</t>
  </si>
  <si>
    <t xml:space="preserve">https://www.bodas.net/fincas/la-masia-de-jose-luis--e3442</t>
  </si>
  <si>
    <t xml:space="preserve">Club de Campo Villa de Madrid</t>
  </si>
  <si>
    <t xml:space="preserve">Club deportivo con jardines</t>
  </si>
  <si>
    <t xml:space="preserve">Madrid – Moncloa-Aravaca</t>
  </si>
  <si>
    <t xml:space="preserve">Ctra. de Castilla s/n, 28040 Madrid</t>
  </si>
  <si>
    <t xml:space="preserve">Alquiler de espacio: Chalet del Golf 2.500 € (IVA incl.); otro espacio desde 1.000 € + IVA según invitados; + menú (pedir presupuesto)</t>
  </si>
  <si>
    <t xml:space="preserve">Catering del club (cocina del chef Iván Sáez); en opiniones también Cavalier Catering</t>
  </si>
  <si>
    <t xml:space="preserve">No – no se admiten comida ni bebida del exterior</t>
  </si>
  <si>
    <t xml:space="preserve">2 espacios: La Cristalera (Hípica) y el Chalet del Golf, con jardín y vistas a Madrid iluminado; carpas con proveedor del club</t>
  </si>
  <si>
    <t xml:space="preserve">Sí (jardín; vistas a Madrid)</t>
  </si>
  <si>
    <t xml:space="preserve">Sí, dentro del club</t>
  </si>
  <si>
    <t xml:space="preserve">4 h de barra libre incluidas (hora extra aparte)</t>
  </si>
  <si>
    <t xml:space="preserve">Dossier «Bodas 2026» del club: reserva = alquiler del espacio + contrato de catering con 25% de depósito; incluye decoración floral de mesas y degustación (6 personas en bodas de 100+); menú infantil 50 €; jamón con cortador en bodas de 150+. Descuentos para abonados.</t>
  </si>
  <si>
    <t xml:space="preserve">https://www.ccvm.es/sites/default/files/users/user7/BODAS%202026.pdf</t>
  </si>
  <si>
    <t xml:space="preserve">Mirador del Olivar</t>
  </si>
  <si>
    <t xml:space="preserve">Club de golf con jardines (Olivar de la Hinojosa)</t>
  </si>
  <si>
    <t xml:space="preserve">Madrid – Barajas (Campo de las Naciones)</t>
  </si>
  <si>
    <t xml:space="preserve">Vía de Dublín s/n, 28042 Madrid</t>
  </si>
  <si>
    <t xml:space="preserve">Menú desde 99 €/invitado</t>
  </si>
  <si>
    <t xml:space="preserve">50–520</t>
  </si>
  <si>
    <t xml:space="preserve">Restaurante del club</t>
  </si>
  <si>
    <t xml:space="preserve">Salón + carpa exterior; ceremonia exterior o interior</t>
  </si>
  <si>
    <t xml:space="preserve">Sí (carpa, jardín y campo de golf para fotos)</t>
  </si>
  <si>
    <t xml:space="preserve">Sí (exterior e interior)</t>
  </si>
  <si>
    <t xml:space="preserve">Vistas al campo de golf. Cerca del aeropuerto.</t>
  </si>
  <si>
    <t xml:space="preserve">4,9 (96)</t>
  </si>
  <si>
    <t xml:space="preserve">https://www.bodas.net/fincas/mirador-del-olivar--e16700</t>
  </si>
  <si>
    <t xml:space="preserve">Club de Tiro de Madrid</t>
  </si>
  <si>
    <t xml:space="preserve">Finca en el Monte de El Pardo</t>
  </si>
  <si>
    <t xml:space="preserve">Madrid – El Pardo</t>
  </si>
  <si>
    <t xml:space="preserve">Ctra. Madrid-El Pardo M-605 km 1,2, 28035 Madrid</t>
  </si>
  <si>
    <t xml:space="preserve">Menú 130–155 €/invitado</t>
  </si>
  <si>
    <t xml:space="preserve">80–600</t>
  </si>
  <si>
    <t xml:space="preserve">Life Gourmet / Ramón Freixa Catering (cocina propia)</t>
  </si>
  <si>
    <t xml:space="preserve">No – exclusivo (no se alquila solo el espacio)</t>
  </si>
  <si>
    <t xml:space="preserve">2 espacios independientes (Colonial e Invernadero), cada uno con parking, entrada y jardines propios; carpa y zona de baile</t>
  </si>
  <si>
    <t xml:space="preserve">Sí (terraza, jardines y carpa)</t>
  </si>
  <si>
    <t xml:space="preserve">Hay baño/zona de novia (según opiniones) – confirmar sala</t>
  </si>
  <si>
    <t xml:space="preserve">Sí, ceremonia civil en jardines</t>
  </si>
  <si>
    <t xml:space="preserve">Hasta las 05:00 · 1 evento al día</t>
  </si>
  <si>
    <t xml:space="preserve">Exclusividad también de música. Barra libre incluida (con límite de hora). Tarta propia permitida con registro sanitario. 6 Wedding Awards.</t>
  </si>
  <si>
    <t xml:space="preserve">4,8 (184)</t>
  </si>
  <si>
    <t xml:space="preserve">+34 913 16 11 69</t>
  </si>
  <si>
    <t xml:space="preserve">https://www.bodas.net/fincas/club-de-tiro--e81609</t>
  </si>
  <si>
    <t xml:space="preserve">Fuentearcos</t>
  </si>
  <si>
    <t xml:space="preserve">Finca-restaurante con jardines</t>
  </si>
  <si>
    <t xml:space="preserve">Madrid – Vicálvaro</t>
  </si>
  <si>
    <t xml:space="preserve">Ctra. Vicálvaro a Rivas km 2, 28052 Madrid</t>
  </si>
  <si>
    <t xml:space="preserve">Menú desde 120 €/invitado</t>
  </si>
  <si>
    <t xml:space="preserve">20–350</t>
  </si>
  <si>
    <t xml:space="preserve">Cocina propia del restaurante</t>
  </si>
  <si>
    <t xml:space="preserve">No (catering de la casa) – confirmar</t>
  </si>
  <si>
    <t xml:space="preserve">Varios espacios (p. ej. Espacio/Salón Arcos con cristalera) y jardines</t>
  </si>
  <si>
    <t xml:space="preserve">Sí (Jardín Arcos)</t>
  </si>
  <si>
    <t xml:space="preserve">Apta para bodas muy pequeñas (desde 20). 5 promociones activas en bodas.net.</t>
  </si>
  <si>
    <t xml:space="preserve">4,9 (405)</t>
  </si>
  <si>
    <t xml:space="preserve">+34 917 76 55 17</t>
  </si>
  <si>
    <t xml:space="preserve">https://www.bodas.net/fincas/fuentearcos--e1946</t>
  </si>
  <si>
    <t xml:space="preserve">Finca Solimpar</t>
  </si>
  <si>
    <t xml:space="preserve">Finca con hotel</t>
  </si>
  <si>
    <t xml:space="preserve">Leganés</t>
  </si>
  <si>
    <t xml:space="preserve">Ctra. de Toledo A-42 km 8, 28916 Leganés</t>
  </si>
  <si>
    <t xml:space="preserve">Menú desde 90 €/invitado (bodas.net)</t>
  </si>
  <si>
    <t xml:space="preserve">50–300 o más (bodas.net); banquete hasta ~400 según ficha de eventos</t>
  </si>
  <si>
    <t xml:space="preserve">Varios salones interiores modulares con acceso directo a jardines</t>
  </si>
  <si>
    <t xml:space="preserve">Sí (jardines con césped)</t>
  </si>
  <si>
    <t xml:space="preserve">Sí (hotel, 32 habitaciones)</t>
  </si>
  <si>
    <t xml:space="preserve">A 10 min del centro por la A-42.</t>
  </si>
  <si>
    <t xml:space="preserve">4,7 (350)</t>
  </si>
  <si>
    <t xml:space="preserve">+34 913 41 91 25</t>
  </si>
  <si>
    <t xml:space="preserve">https://www.bodas.net/fincas/finca-solimpar--e2670</t>
  </si>
  <si>
    <t xml:space="preserve">El Jardín de Somontes (Eventos Somontes)</t>
  </si>
  <si>
    <t xml:space="preserve">Jardín para eventos con piscina y carpa</t>
  </si>
  <si>
    <t xml:space="preserve">Madrid – El Pardo (Somontes)</t>
  </si>
  <si>
    <t xml:space="preserve">Ctra. Madrid-El Pardo km 3,4, 28035 Madrid</t>
  </si>
  <si>
    <t xml:space="preserve">No publicado (depende del catering elegido)</t>
  </si>
  <si>
    <t xml:space="preserve">150–400 (recargo de 20 €/comensal por debajo de 150)</t>
  </si>
  <si>
    <t xml:space="preserve">Trabaja con caterings colaboradores (Catering Mallorca, Artigot Catering)</t>
  </si>
  <si>
    <t xml:space="preserve">Lista de caterings (no libre del todo) – pago fijo de 900 € si se elige Mallorca</t>
  </si>
  <si>
    <t xml:space="preserve">Jardín (ceremonia y cóctel) + espacio interior (banquete) + gran carpa junto a la piscina (barra libre)</t>
  </si>
  <si>
    <t xml:space="preserve">Sí (jardín, carpa y piscina)</t>
  </si>
  <si>
    <t xml:space="preserve">Sí, ceremonia civil en el jardín</t>
  </si>
  <si>
    <t xml:space="preserve">Mínimo alto (150 invitados). Una de las pocas opciones dentro del radio que no ata a un único catering.</t>
  </si>
  <si>
    <t xml:space="preserve">+34 600 51 65 61</t>
  </si>
  <si>
    <t xml:space="preserve">https://www.bodas.net/restaurantes/el-jardin-de-somontes--e193863</t>
  </si>
  <si>
    <t xml:space="preserve">La Casa de Mónico</t>
  </si>
  <si>
    <t xml:space="preserve">Finca solariega (1946) con jardín inglés</t>
  </si>
  <si>
    <t xml:space="preserve">Madrid – Aravaca</t>
  </si>
  <si>
    <t xml:space="preserve">C/ Cabeza de Manzaneda 105 (A-6 km 9,5), 28023 Madrid</t>
  </si>
  <si>
    <t xml:space="preserve">Menú desde 185 €/invitado</t>
  </si>
  <si>
    <t xml:space="preserve">50–600 (ficha de eventos: 670 interior / 2.500 exterior)</t>
  </si>
  <si>
    <t xml:space="preserve">Mónico Catering (Grupo Mónico)</t>
  </si>
  <si>
    <t xml:space="preserve">No – exclusivo (condiciones especiales si no se llega al mínimo)</t>
  </si>
  <si>
    <t xml:space="preserve">5 salas/espacios + jardín inglés de 30.000 m²</t>
  </si>
  <si>
    <t xml:space="preserve">Sí (380 plazas)</t>
  </si>
  <si>
    <t xml:space="preserve">Reformada por el estudio de Luisa Olazábal. La más cara de las que publican precio.</t>
  </si>
  <si>
    <t xml:space="preserve">4,9 (213)</t>
  </si>
  <si>
    <t xml:space="preserve">+34 913 57 32 55</t>
  </si>
  <si>
    <t xml:space="preserve">https://www.bodas.net/fincas/la-casa-de-monico--e2021</t>
  </si>
  <si>
    <t xml:space="preserve">Finca La Gaivota</t>
  </si>
  <si>
    <t xml:space="preserve">Finca con casa señorial (años 40)</t>
  </si>
  <si>
    <t xml:space="preserve">C/ Ardales s/n, 28023 Madrid</t>
  </si>
  <si>
    <t xml:space="preserve">Hasta ~500 (prensa); pradera &gt;1.000 m² para banquetes</t>
  </si>
  <si>
    <t xml:space="preserve">Isabel Maestre Catering</t>
  </si>
  <si>
    <t xml:space="preserve">Casa señorial + carpa-invernadero acristalado + pradera + piscina; ~10.000 m² de jardines de Fernando Caruncho</t>
  </si>
  <si>
    <t xml:space="preserve">Sí (jardines, pradera y terraza)</t>
  </si>
  <si>
    <t xml:space="preserve">A 8 min del centro. Invernadero como plan B si llueve.</t>
  </si>
  <si>
    <t xml:space="preserve">+34 650 85 13 10</t>
  </si>
  <si>
    <t xml:space="preserve">https://www.salir.com/finca-la-gaivota-madrid-neg-141910.html</t>
  </si>
  <si>
    <t xml:space="preserve">Finca Astilbe (by Eneldo)</t>
  </si>
  <si>
    <t xml:space="preserve">Finca de 40.000 m²</t>
  </si>
  <si>
    <t xml:space="preserve">Madrid – Fuencarral</t>
  </si>
  <si>
    <t xml:space="preserve">Carr. de Fuencarral km 1,9, 28049 Madrid</t>
  </si>
  <si>
    <t xml:space="preserve">Menú desde 145 €/invitado</t>
  </si>
  <si>
    <t xml:space="preserve">150–600</t>
  </si>
  <si>
    <t xml:space="preserve">Eneldo Catering</t>
  </si>
  <si>
    <t xml:space="preserve">No (catering de la casa); tarta propia sin recargo</t>
  </si>
  <si>
    <t xml:space="preserve">Salones Plenaria (650 banquete), Columnas (190), Dos Aguas (160), porche (140) y jardín 2.220 m² (640); zona de fiesta con barra</t>
  </si>
  <si>
    <t xml:space="preserve">Sí (porche 175 m² + jardines)</t>
  </si>
  <si>
    <t xml:space="preserve">Sí – casita para que se cambien los novios</t>
  </si>
  <si>
    <t xml:space="preserve">Sí (zona de ceremonia)</t>
  </si>
  <si>
    <t xml:space="preserve">Cierran barra a la hora pactada</t>
  </si>
  <si>
    <t xml:space="preserve">Algunas reseñas se quejan del camino de acceso (baches) y de una cancelación por doble reserva: dejarlo todo por escrito.</t>
  </si>
  <si>
    <t xml:space="preserve">4,9 (19)</t>
  </si>
  <si>
    <t xml:space="preserve">+34 917 37 65 25</t>
  </si>
  <si>
    <t xml:space="preserve">https://www.bodas.net/fincas/finca-astilbe--e218138</t>
  </si>
  <si>
    <t xml:space="preserve">El Mirador de Cuatrovientos (incl. Finca Las Palmeras)</t>
  </si>
  <si>
    <t xml:space="preserve">Complejo de fincas con jardines</t>
  </si>
  <si>
    <t xml:space="preserve">Madrid – Latina (Cuatro Vientos)</t>
  </si>
  <si>
    <t xml:space="preserve">Ctra. Barrio de la Fortuna 14, 28054 Madrid</t>
  </si>
  <si>
    <t xml:space="preserve">40–1.000</t>
  </si>
  <si>
    <t xml:space="preserve">Cocina propia</t>
  </si>
  <si>
    <t xml:space="preserve">Varios espacios/fincas (p. ej. Finca Las Palmeras) con jardines, chill out y salones</t>
  </si>
  <si>
    <t xml:space="preserve">Sí (jardines, chill out, balinesas)</t>
  </si>
  <si>
    <t xml:space="preserve">De las más valoradas de Madrid en bodas.net (786 opiniones, Wedding Awards).</t>
  </si>
  <si>
    <t xml:space="preserve">4,9 (786)</t>
  </si>
  <si>
    <t xml:space="preserve">+34 915 08 54 45</t>
  </si>
  <si>
    <t xml:space="preserve">https://www.bodas.net/fincas/el-mirador-de-cuatrovientos--e3257</t>
  </si>
  <si>
    <t xml:space="preserve">U-Zalacaín La Finca</t>
  </si>
  <si>
    <t xml:space="preserve">Finca con jardines</t>
  </si>
  <si>
    <t xml:space="preserve">Pozuelo de Alarcón (urb. La Finca)</t>
  </si>
  <si>
    <t xml:space="preserve">P.º Club Deportivo 4, Urb. La Finca, 28223 Pozuelo de Alarcón</t>
  </si>
  <si>
    <t xml:space="preserve">Menú desde 135 €/invitado</t>
  </si>
  <si>
    <t xml:space="preserve">UZalacaín Catering &amp; Eventos</t>
  </si>
  <si>
    <t xml:space="preserve">Jardines para ceremonia, cóctel y cena al aire libre + salón interior</t>
  </si>
  <si>
    <t xml:space="preserve">5% de descuento para novios de bodas.net.</t>
  </si>
  <si>
    <t xml:space="preserve">5,0 (40)</t>
  </si>
  <si>
    <t xml:space="preserve">+34 917 99 71 90</t>
  </si>
  <si>
    <t xml:space="preserve">https://www.bodas.net/fincas/u-zalacain-la-finca--e176648</t>
  </si>
  <si>
    <t xml:space="preserve">Finca La Muñoza (La Cococha)</t>
  </si>
  <si>
    <t xml:space="preserve">Finca con palacio neoclásico</t>
  </si>
  <si>
    <t xml:space="preserve">Madrid – El Pardo (entrada)</t>
  </si>
  <si>
    <t xml:space="preserve">Ctra. de El Pardo a Fuencarral km 4,1, 28049 Madrid</t>
  </si>
  <si>
    <t xml:space="preserve">Menú desde 125 €/invitado</t>
  </si>
  <si>
    <t xml:space="preserve">100–600</t>
  </si>
  <si>
    <t xml:space="preserve">Catering La Cococha</t>
  </si>
  <si>
    <t xml:space="preserve">No – exclusivo</t>
  </si>
  <si>
    <t xml:space="preserve">Palacio con salones + carpa + 28.000 m² de jardines paisajistas</t>
  </si>
  <si>
    <t xml:space="preserve">Sí (jardines y carpa)</t>
  </si>
  <si>
    <t xml:space="preserve">Palacio habitado por la reina María Cristina de Borbón. Wedding Awards 2022. En Google aparece como «La Quinta Muñoza».</t>
  </si>
  <si>
    <t xml:space="preserve">5,0 (23)</t>
  </si>
  <si>
    <t xml:space="preserve">+34 913 76 16 77</t>
  </si>
  <si>
    <t xml:space="preserve">https://www.bodas.net/fincas/finca-la-munoza-la-cococha--e173003</t>
  </si>
  <si>
    <t xml:space="preserve">Real Club La Moraleja</t>
  </si>
  <si>
    <t xml:space="preserve">Club de golf</t>
  </si>
  <si>
    <t xml:space="preserve">Alcobendas (La Moraleja)</t>
  </si>
  <si>
    <t xml:space="preserve">P.º Marquesa Viuda de Aldama 50, 28109 Alcobendas</t>
  </si>
  <si>
    <t xml:space="preserve">No publicado (media de fincas en Alcobendas en bodas.net ≈150 €/invitado)</t>
  </si>
  <si>
    <t xml:space="preserve">Cocinas propias del club («no somos catering»)</t>
  </si>
  <si>
    <t xml:space="preserve">No (cocina propia del club)</t>
  </si>
  <si>
    <t xml:space="preserve">Casa club con salones + exteriores/campo de golf (si llueve, todo se monta dentro)</t>
  </si>
  <si>
    <t xml:space="preserve">Sí (exteriores)</t>
  </si>
  <si>
    <t xml:space="preserve">Wedding Awards 2025 en bodas.net; larga trayectoria en bodas. Club privado: preguntar condiciones para no socios. Una reseña de Google lo ve algo anticuado para &gt;200 personas.</t>
  </si>
  <si>
    <t xml:space="preserve">4,9 (51)</t>
  </si>
  <si>
    <t xml:space="preserve">+34 916 50 07 00</t>
  </si>
  <si>
    <t xml:space="preserve">https://www.bodas.net/fincas/real-club-la-moraleja--e81710</t>
  </si>
  <si>
    <t xml:space="preserve">Finca Petit Moraleja</t>
  </si>
  <si>
    <t xml:space="preserve">Finca para eventos</t>
  </si>
  <si>
    <t xml:space="preserve">Alcobendas</t>
  </si>
  <si>
    <t xml:space="preserve">Vereda de las Peñas 29, 28109 Alcobendas</t>
  </si>
  <si>
    <t xml:space="preserve">Muy pocas reseñas; información pública escasa.</t>
  </si>
  <si>
    <t xml:space="preserve">+34 915 65 53 75</t>
  </si>
  <si>
    <t xml:space="preserve">Google Maps</t>
  </si>
  <si>
    <t xml:space="preserve">El Jardín de la Florida</t>
  </si>
  <si>
    <t xml:space="preserve">Casa con jardín para eventos</t>
  </si>
  <si>
    <t xml:space="preserve">Madrid – Aravaca (La Florida)</t>
  </si>
  <si>
    <t xml:space="preserve">C/ de Zarauz 2, 28023 Madrid</t>
  </si>
  <si>
    <t xml:space="preserve">No publicado (formato pequeño)</t>
  </si>
  <si>
    <t xml:space="preserve">Las opiniones sugieren que se contrata catering aparte</t>
  </si>
  <si>
    <t xml:space="preserve">Posiblemente sí – confirmar</t>
  </si>
  <si>
    <t xml:space="preserve">Casa + jardín con piscina y pista de tenis</t>
  </si>
  <si>
    <t xml:space="preserve">Casa disponible – preguntar</t>
  </si>
  <si>
    <t xml:space="preserve">Pocas reseñas (8). Interesante si buscáis traer vuestro propio catering.</t>
  </si>
  <si>
    <t xml:space="preserve">+34 606 33 16 40</t>
  </si>
  <si>
    <t xml:space="preserve">Google Maps (ficha y opiniones)</t>
  </si>
  <si>
    <t xml:space="preserve">Initium (Artigot Catering)</t>
  </si>
  <si>
    <t xml:space="preserve">Finca nueva y reformada</t>
  </si>
  <si>
    <t xml:space="preserve">Madrid – Fuencarral (Cantoblanco)</t>
  </si>
  <si>
    <t xml:space="preserve">Carr. de Canto Blanco 14, 28049 Madrid</t>
  </si>
  <si>
    <t xml:space="preserve">Menú desde 150 €/invitado</t>
  </si>
  <si>
    <t xml:space="preserve">75–270</t>
  </si>
  <si>
    <t xml:space="preserve">Artigot Catering</t>
  </si>
  <si>
    <t xml:space="preserve">Salón + carpa (ceremonia) + zona de fuentes para el cóctel</t>
  </si>
  <si>
    <t xml:space="preserve">Sí (jardín y fuentes)</t>
  </si>
  <si>
    <t xml:space="preserve">Sí (en carpa)</t>
  </si>
  <si>
    <t xml:space="preserve">Una reseña de 2026 menciona fallos de coordinación a la llegada (verja cerrada).</t>
  </si>
  <si>
    <t xml:space="preserve">+34 663 25 18 33</t>
  </si>
  <si>
    <t xml:space="preserve">https://www.bodas.net/fincas/initium-artigot-catering--e258289</t>
  </si>
  <si>
    <t xml:space="preserve">Finca El Chaparral</t>
  </si>
  <si>
    <t xml:space="preserve">Residencia del s. XIX rehabilitada con jardines (Marqués de Mondéjar)</t>
  </si>
  <si>
    <t xml:space="preserve">Madrid – Aravaca / Pozuelo</t>
  </si>
  <si>
    <t xml:space="preserve">Finca La Escorzonera s/n, 28023 Madrid</t>
  </si>
  <si>
    <t xml:space="preserve">No publicado (exigen un mínimo de invitados)</t>
  </si>
  <si>
    <t xml:space="preserve">No consta (reseñas: catering impecable)</t>
  </si>
  <si>
    <t xml:space="preserve">Gran finca con jardines</t>
  </si>
  <si>
    <t xml:space="preserve">Fiesta hasta ~02:00 (según opiniones)</t>
  </si>
  <si>
    <t xml:space="preserve">Exclusiva y elegante; algunas reseñas critican el trato comercial. En la misma finca (La Escorzonera) está Torzares, que figura en bodas.net con catering aparte.</t>
  </si>
  <si>
    <t xml:space="preserve">+34 914 41 55 44</t>
  </si>
  <si>
    <t xml:space="preserve">Torzares (finca La Escorzonera)</t>
  </si>
  <si>
    <t xml:space="preserve">Casa/finca de alquiler para eventos</t>
  </si>
  <si>
    <t xml:space="preserve">Pozuelo de Alarcón / Aravaca (La Escorzonera)</t>
  </si>
  <si>
    <t xml:space="preserve">Finca La Escorzonera, Pozuelo de Alarcón (coordenadas aproximadas de la finca)</t>
  </si>
  <si>
    <t xml:space="preserve">Alquiler de la finca con coste fijo (no publicado) + catering aparte</t>
  </si>
  <si>
    <t xml:space="preserve">150–400</t>
  </si>
  <si>
    <t xml:space="preserve">Se contrata empresa de catering (la tarta, p. ej., «se habla con la empresa de catering seleccionada»)</t>
  </si>
  <si>
    <t xml:space="preserve">Probablemente sí (catering aparte) – confirmar si hay lista</t>
  </si>
  <si>
    <t xml:space="preserve">Espacios amplios y versátiles + jardines y terrazas; ofrecen también decoración</t>
  </si>
  <si>
    <t xml:space="preserve">Sí (jardines y terrazas)</t>
  </si>
  <si>
    <t xml:space="preserve">Es una vivienda: preguntar por habitaciones para vestirse</t>
  </si>
  <si>
    <t xml:space="preserve">Sin recargo por mínimo: el alquiler es un coste fijo. Está en la misma finca (La Escorzonera) que Finca El Chaparral: confirmar si comparten espacio. Media de fincas en Pozuelo en bodas.net ≈180 €/invitado.</t>
  </si>
  <si>
    <t xml:space="preserve">https://www.bodas.net/fincas/torzares--e286605</t>
  </si>
  <si>
    <t xml:space="preserve">Restaurante San Francisco (El Pardo)</t>
  </si>
  <si>
    <t xml:space="preserve">Restaurante con jardín</t>
  </si>
  <si>
    <t xml:space="preserve">Pista del Cristo de El Pardo 3, 28048 Madrid</t>
  </si>
  <si>
    <t xml:space="preserve">Varios salones de banquetes de distintos tamaños + jardín arbolado</t>
  </si>
  <si>
    <t xml:space="preserve">Sí (jardín con árboles)</t>
  </si>
  <si>
    <t xml:space="preserve">Bodas con servicio tipo buffet según opiniones.</t>
  </si>
  <si>
    <t xml:space="preserve">+34 913 76 07 52</t>
  </si>
  <si>
    <t xml:space="preserve">Palacio del Negralejo (Grupo Negralejo)</t>
  </si>
  <si>
    <t xml:space="preserve">Palacio s. XVIII con jardines</t>
  </si>
  <si>
    <t xml:space="preserve">Rivas-Vaciamadrid</t>
  </si>
  <si>
    <t xml:space="preserve">Carr. de Mejorada km 3, 28522 Rivas-Vaciamadrid</t>
  </si>
  <si>
    <t xml:space="preserve">Menú desde 150 €/invitado (incl. cóctel, menú, bodega, 4 h barra libre, degustación)</t>
  </si>
  <si>
    <t xml:space="preserve">70–400 por boda</t>
  </si>
  <si>
    <t xml:space="preserve">Salones Rosaleda, Pérgola y Boxes (+ bodegas); 11 espacios en el complejo</t>
  </si>
  <si>
    <t xml:space="preserve">Sí (jardines y patios)</t>
  </si>
  <si>
    <t xml:space="preserve">Sí (3 aparcamientos)</t>
  </si>
  <si>
    <t xml:space="preserve">8 h de servicio incluidas</t>
  </si>
  <si>
    <t xml:space="preserve">Ojo: el complejo puede acoger varios eventos a la vez en espacios separados.</t>
  </si>
  <si>
    <t xml:space="preserve">4,8 (179) – Grupo Negralejo</t>
  </si>
  <si>
    <t xml:space="preserve">+34 916 69 11 25</t>
  </si>
  <si>
    <t xml:space="preserve">https://www.bodas.net/fincas/grupo-negralejo--e2063</t>
  </si>
  <si>
    <t xml:space="preserve">Jardines del Negralejo (Grupo Negralejo)</t>
  </si>
  <si>
    <t xml:space="preserve">Antigua Posta Real con jardines</t>
  </si>
  <si>
    <t xml:space="preserve">Carr. de Mejorada km 2,5, 28522 Rivas-Vaciamadrid</t>
  </si>
  <si>
    <t xml:space="preserve">Menú desde 150 €/invitado (incl. cóctel, menú, bodega, 4 h barra libre)</t>
  </si>
  <si>
    <t xml:space="preserve">70–400</t>
  </si>
  <si>
    <t xml:space="preserve">Salones Balconada, Pabellón, Conde Duque y Posta Real (+ Herradura y Corrala)</t>
  </si>
  <si>
    <t xml:space="preserve">Sí (jardines y corrala)</t>
  </si>
  <si>
    <t xml:space="preserve">7 h de servicio incluidas</t>
  </si>
  <si>
    <t xml:space="preserve">Mismo grupo que el Palacio. Wedding Awards 2026.</t>
  </si>
  <si>
    <t xml:space="preserve">Finca La Alquería</t>
  </si>
  <si>
    <t xml:space="preserve">Finca de recreo (1890) con pabellones</t>
  </si>
  <si>
    <t xml:space="preserve">Madrid – junto a A-5 (km 12,8)</t>
  </si>
  <si>
    <t xml:space="preserve">A-5 km 12,8, 28922 Madrid</t>
  </si>
  <si>
    <t xml:space="preserve">90–1.200 (mín. 100 en La Ermita; 125 en los demás pabellones)</t>
  </si>
  <si>
    <t xml:space="preserve">Cocina propia (todo se elabora en la finca)</t>
  </si>
  <si>
    <t xml:space="preserve">Pabellones La Ermita, Almazara, Brezo y Ciprés (~430 en banquete cada uno) + jardines, fuentes y lago (23.000 m²)</t>
  </si>
  <si>
    <t xml:space="preserve">Sí (jardines, pabellón exterior)</t>
  </si>
  <si>
    <t xml:space="preserve">Sí (jardín / Casa Ermita)</t>
  </si>
  <si>
    <t xml:space="preserve">Sí (privado y amplio)</t>
  </si>
  <si>
    <t xml:space="preserve">Más de 70 años organizando eventos.</t>
  </si>
  <si>
    <t xml:space="preserve">4,9 (236)</t>
  </si>
  <si>
    <t xml:space="preserve">+34 916 21 01 06</t>
  </si>
  <si>
    <t xml:space="preserve">https://www.bodas.net/fincas/finca-la-alqueria--e2004</t>
  </si>
  <si>
    <t xml:space="preserve">Finca Las Jarillas</t>
  </si>
  <si>
    <t xml:space="preserve">Finca de recreo y caza con lago</t>
  </si>
  <si>
    <t xml:space="preserve">Madrid – El Goloso (M-607)</t>
  </si>
  <si>
    <t xml:space="preserve">M-607 km 19,9, 28049 Madrid</t>
  </si>
  <si>
    <t xml:space="preserve">Hasta ~500 en interior</t>
  </si>
  <si>
    <t xml:space="preserve">Aldovea Catering (también se cita La Cococha en opiniones)</t>
  </si>
  <si>
    <t xml:space="preserve">Consultar (posible lista de caterings)</t>
  </si>
  <si>
    <t xml:space="preserve">3 salones (uno tipo invernadero) + patio andaluz acristalado con fuente + invernadero inglés; jardines y lago</t>
  </si>
  <si>
    <t xml:space="preserve">Sí (jardines, lago, invernadero)</t>
  </si>
  <si>
    <t xml:space="preserve">Sí, amplio (acceso justo para autobuses de 13 m)</t>
  </si>
  <si>
    <t xml:space="preserve">⚠ Confirmado en opiniones: una boda prevista para marzo de 2026 tuvo que cambiar de finca porque «por un problema con la finca» no se podían celebrar eventos; hay reseñas posteriores de bodas, pero conviene confirmar disponibilidad y licencia por escrito.</t>
  </si>
  <si>
    <t xml:space="preserve">+34 913 10 20 00</t>
  </si>
  <si>
    <t xml:space="preserve">https://www.naboo.app/explorer/houses/finca-las-jarillas</t>
  </si>
  <si>
    <t xml:space="preserve">El Antiguo Convento de Boadilla del Monte</t>
  </si>
  <si>
    <t xml:space="preserve">Convento s. XVII / hotel boutique</t>
  </si>
  <si>
    <t xml:space="preserve">Boadilla del Monte</t>
  </si>
  <si>
    <t xml:space="preserve">C/ las Monjas s/n, 28660 Boadilla del Monte</t>
  </si>
  <si>
    <t xml:space="preserve">50–500</t>
  </si>
  <si>
    <t xml:space="preserve">Claustro, patio, jardín de gala y salones</t>
  </si>
  <si>
    <t xml:space="preserve">Sí (jardín de gala y patio)</t>
  </si>
  <si>
    <t xml:space="preserve">Sí (patio/jardín)</t>
  </si>
  <si>
    <t xml:space="preserve">Convento fundado en 1674.</t>
  </si>
  <si>
    <t xml:space="preserve">4,8 (297)</t>
  </si>
  <si>
    <t xml:space="preserve">+34 916 32 22 20</t>
  </si>
  <si>
    <t xml:space="preserve">https://www.bodas.net/fincas/el-antiguo-convento-de-boadilla-del-monte--e1942</t>
  </si>
  <si>
    <t xml:space="preserve">Palacio de Aldovea</t>
  </si>
  <si>
    <t xml:space="preserve">Palacio-castillo con jardines (BIC)</t>
  </si>
  <si>
    <t xml:space="preserve">San Fernando de Henares / Torrejón</t>
  </si>
  <si>
    <t xml:space="preserve">Ctra. del Castillo 10, 28830</t>
  </si>
  <si>
    <t xml:space="preserve">~30 hasta 200–550 según espacio/fuente</t>
  </si>
  <si>
    <t xml:space="preserve">Históricamente Aldovea Catering (chef Rita Figueroa); hoy se citan varios caterings (Sazón, Santani, Gourmad, Espacio Catering)</t>
  </si>
  <si>
    <t xml:space="preserve">Consultar (posible lista cerrada)</t>
  </si>
  <si>
    <t xml:space="preserve">Palacio con varios salones + &gt;2.000 m² de jardines</t>
  </si>
  <si>
    <t xml:space="preserve">1 boda al día</t>
  </si>
  <si>
    <t xml:space="preserve">Castillo s. XI convertido en palacio s. XVIII; Bien de Interés Cultural.</t>
  </si>
  <si>
    <t xml:space="preserve">https://www.hola.com/novias/20221231223804/espacios-boda-muchos-invitados-espana/</t>
  </si>
  <si>
    <t xml:space="preserve">Finca Villa María</t>
  </si>
  <si>
    <t xml:space="preserve">Finca con palacete</t>
  </si>
  <si>
    <t xml:space="preserve">Las Rozas de Madrid</t>
  </si>
  <si>
    <t xml:space="preserve">Carr. de El Escorial km 0,1, 28231 Las Rozas</t>
  </si>
  <si>
    <t xml:space="preserve">Menú desde 145 €/invitado (bodas.net); incluye 4 h de barra libre</t>
  </si>
  <si>
    <t xml:space="preserve">Propio (organizan bodas desde 1994)</t>
  </si>
  <si>
    <t xml:space="preserve">2 espacios independientes en 10.000 m²: El Palacete (palacete s. XX, jardines, pabellón acristalado y discoteca en las antiguas cocheras) y La Casa del Cenador (cóctel, discoteca, jardín con cenador y terraza acristalada; ideal bodas pequeñas, p. ej. 65 invitados)</t>
  </si>
  <si>
    <t xml:space="preserve">Sí (jardín + terraza acristalada)</t>
  </si>
  <si>
    <t xml:space="preserve">Sí, al aire libre</t>
  </si>
  <si>
    <t xml:space="preserve">Sí, privado</t>
  </si>
  <si>
    <t xml:space="preserve">4 h de barra libre incluidas</t>
  </si>
  <si>
    <t xml:space="preserve">Más de 30 años organizando bodas; opiniones destacan a la coordinadora (Paz).</t>
  </si>
  <si>
    <t xml:space="preserve">+34 630 93 25 82</t>
  </si>
  <si>
    <t xml:space="preserve">https://www.bodas.net/fincas/finca-villa-maria--e2079</t>
  </si>
  <si>
    <t xml:space="preserve">Gasterea Finca Restaurante</t>
  </si>
  <si>
    <t xml:space="preserve">Finca-restaurante</t>
  </si>
  <si>
    <t xml:space="preserve">P.º de Madrid 3, 28660 Boadilla del Monte</t>
  </si>
  <si>
    <t xml:space="preserve">Menú de boda desde 120 €/invitado (bodas.net)</t>
  </si>
  <si>
    <t xml:space="preserve">Hasta 300</t>
  </si>
  <si>
    <t xml:space="preserve">3 salones luminosos con vistas a los jardines (se pueden reservar por separado)</t>
  </si>
  <si>
    <t xml:space="preserve">Sí (salones abiertos a jardines)</t>
  </si>
  <si>
    <t xml:space="preserve">Sí (cercano)</t>
  </si>
  <si>
    <t xml:space="preserve">4 h de barra libre (según opiniones)</t>
  </si>
  <si>
    <t xml:space="preserve">Más de 25 años (Boadilla Gastronómica); junto a la estación de Metro Ligero Ferial.</t>
  </si>
  <si>
    <t xml:space="preserve">+34 606 33 81 20</t>
  </si>
  <si>
    <t xml:space="preserve">https://www.bodas.net/bodas/banquetes/restaurantes/madrid/boadilla-del-monte</t>
  </si>
  <si>
    <t xml:space="preserve">Finca La Constancia</t>
  </si>
  <si>
    <t xml:space="preserve">Finca con salones y jardín</t>
  </si>
  <si>
    <t xml:space="preserve">San Sebastián de los Reyes</t>
  </si>
  <si>
    <t xml:space="preserve">Camino Viejo de Barajas 12, 28702 S. S. de los Reyes</t>
  </si>
  <si>
    <t xml:space="preserve">Menú 50–150 €/invitado</t>
  </si>
  <si>
    <t xml:space="preserve">20–300</t>
  </si>
  <si>
    <t xml:space="preserve">Cocina propia (restaurante)</t>
  </si>
  <si>
    <t xml:space="preserve">Salones interiores + gran jardín (piscina, zona infantil)</t>
  </si>
  <si>
    <t xml:space="preserve">Muy enfocada a comuniones y bautizos; la más barata de la lista.</t>
  </si>
  <si>
    <t xml:space="preserve">+34 672 34 50 62</t>
  </si>
  <si>
    <t xml:space="preserve">https://www.bodas.net/salones-de-boda/finca-la-constancia--e204294</t>
  </si>
  <si>
    <t xml:space="preserve">Villa Laureana</t>
  </si>
  <si>
    <t xml:space="preserve">Finca de &gt;50.000 m²</t>
  </si>
  <si>
    <t xml:space="preserve">San Sebastián de los Reyes (A-1 km 23)</t>
  </si>
  <si>
    <t xml:space="preserve">Ctra. de Burgos km 23,1, 28709 S. S. de los Reyes</t>
  </si>
  <si>
    <t xml:space="preserve">50–800</t>
  </si>
  <si>
    <t xml:space="preserve">Varios salones (Aranjuez, Laureana, Almudaina…) + jardines</t>
  </si>
  <si>
    <t xml:space="preserve">Sí (terraza y zona ajardinada)</t>
  </si>
  <si>
    <t xml:space="preserve">Sí (amplio, con sombra)</t>
  </si>
  <si>
    <t xml:space="preserve">6 promociones en bodas.net. Mayoría de opiniones buenas, alguna reciente «agridulce».</t>
  </si>
  <si>
    <t xml:space="preserve">4,7 (156)</t>
  </si>
  <si>
    <t xml:space="preserve">+34 916 54 43 12</t>
  </si>
  <si>
    <t xml:space="preserve">https://www.bodas.net/fincas/villa-laureana--e122599</t>
  </si>
  <si>
    <t xml:space="preserve">Señorío de Ajuria</t>
  </si>
  <si>
    <t xml:space="preserve">Fuenlabrada</t>
  </si>
  <si>
    <t xml:space="preserve">C/ Litio 1, 28946 Fuenlabrada</t>
  </si>
  <si>
    <t xml:space="preserve">Menú desde 90 €/invitado</t>
  </si>
  <si>
    <t xml:space="preserve">25–300</t>
  </si>
  <si>
    <t xml:space="preserve">Cocina propia (empresa familiar)</t>
  </si>
  <si>
    <t xml:space="preserve">Finca con jardines y salones</t>
  </si>
  <si>
    <t xml:space="preserve">Muy bien valorada en bodas.net (398 opiniones) y de las más económicas.</t>
  </si>
  <si>
    <t xml:space="preserve">4,9 (398)</t>
  </si>
  <si>
    <t xml:space="preserve">+34 615 33 23 23</t>
  </si>
  <si>
    <t xml:space="preserve">https://www.bodas.net/fincas/senorio-de-ajuria--e2026</t>
  </si>
  <si>
    <t xml:space="preserve">Fuente</t>
  </si>
  <si>
    <t xml:space="preserve">Castillo de Viñuelas (Life Gourmet Catering)</t>
  </si>
  <si>
    <t xml:space="preserve">Castillo en el Monte de Viñuelas</t>
  </si>
  <si>
    <t xml:space="preserve">Madrid / Tres Cantos (Monte de Viñuelas)</t>
  </si>
  <si>
    <t xml:space="preserve">Ctra. de Colmenar km 20,9 – Ctra. Castillo de Viñuelas 10</t>
  </si>
  <si>
    <t xml:space="preserve">Gran capacidad (no publicada)</t>
  </si>
  <si>
    <t xml:space="preserve">Life Gourmet / Ramón Freixa Catering (cocina propia en cada espacio; mismo grupo que Club de Tiro)</t>
  </si>
  <si>
    <t xml:space="preserve">Una reseña cuenta que el cenador de cristal ardió y se sustituyó por carpa: preguntar estado actual.</t>
  </si>
  <si>
    <t xml:space="preserve">+34 610 09 32 56</t>
  </si>
  <si>
    <t xml:space="preserve">https://www.bodas.net/castillos/castillo-de-vinuelas-life-gourmet-catering--e184062</t>
  </si>
  <si>
    <t xml:space="preserve">Finca Villa Chica</t>
  </si>
  <si>
    <t xml:space="preserve">Finca ecuestre / eventos</t>
  </si>
  <si>
    <t xml:space="preserve">San Sebastián de los Reyes (M-111)</t>
  </si>
  <si>
    <t xml:space="preserve">Ctra. Paracuellos-Fuente el Saz M-111 km 15,2</t>
  </si>
  <si>
    <t xml:space="preserve">Ofrecen catering (consultar)</t>
  </si>
  <si>
    <t xml:space="preserve">Eventos y celebraciones; confirmar si hacen bodas.</t>
  </si>
  <si>
    <t xml:space="preserve">+34 636 35 23 49</t>
  </si>
  <si>
    <t xml:space="preserve">Restaurante Finca Liana</t>
  </si>
  <si>
    <t xml:space="preserve">Restaurante en parque</t>
  </si>
  <si>
    <t xml:space="preserve">Móstoles</t>
  </si>
  <si>
    <t xml:space="preserve">Av. de Iker Casillas 1, 28935 Móstoles</t>
  </si>
  <si>
    <t xml:space="preserve">Restaurante con zonas interior/exterior dentro del parque Finca Liana.</t>
  </si>
  <si>
    <t xml:space="preserve">+34 916 13 37 22</t>
  </si>
  <si>
    <t xml:space="preserve">Espacio Éboli (INbodas)</t>
  </si>
  <si>
    <t xml:space="preserve">Finca con carpa</t>
  </si>
  <si>
    <t xml:space="preserve">Pinto</t>
  </si>
  <si>
    <t xml:space="preserve">C/ Cardenal Cisneros s/n, 28320 Pinto</t>
  </si>
  <si>
    <t xml:space="preserve">Gestión INbodas</t>
  </si>
  <si>
    <t xml:space="preserve">Carpa grande, terraza con barras, fuentes, discoteca y parking; junto a la A-4.</t>
  </si>
  <si>
    <t xml:space="preserve">+34 691 60 79 73</t>
  </si>
  <si>
    <t xml:space="preserve">Finca Feligrés</t>
  </si>
  <si>
    <t xml:space="preserve">Arganda del Rey</t>
  </si>
  <si>
    <t xml:space="preserve">Ctra. de Velilla km 1, 28500 Arganda del Rey</t>
  </si>
  <si>
    <t xml:space="preserve">Propio</t>
  </si>
  <si>
    <t xml:space="preserve">Solo 1 evento al día.</t>
  </si>
  <si>
    <t xml:space="preserve">+34 918 75 72 27</t>
  </si>
  <si>
    <t xml:space="preserve">https://www.bodas.net/bodas/banquetes/fincas/madrid/rivas-vaciamadrid</t>
  </si>
  <si>
    <t xml:space="preserve">El Cortijo de Mónico</t>
  </si>
  <si>
    <t xml:space="preserve">Cortijo andaluz</t>
  </si>
  <si>
    <t xml:space="preserve">Majadahonda</t>
  </si>
  <si>
    <t xml:space="preserve">Ctra. Villanueva del Pardillo M-851 km 1,5, 28222 Majadahonda</t>
  </si>
  <si>
    <t xml:space="preserve">No publicado (Grupo Mónico)</t>
  </si>
  <si>
    <t xml:space="preserve">Hasta 500 sentados / 750 cóctel</t>
  </si>
  <si>
    <t xml:space="preserve">Mónico Catering (exclusivo)</t>
  </si>
  <si>
    <t xml:space="preserve">Parking 200 plazas.</t>
  </si>
  <si>
    <t xml:space="preserve">https://www.bodas.net/fincas/el-cortijo-de-monico--e8570</t>
  </si>
  <si>
    <t xml:space="preserve">Complejo Cervantes (Finca de Bodas Madrid)</t>
  </si>
  <si>
    <t xml:space="preserve">Finca con salones</t>
  </si>
  <si>
    <t xml:space="preserve">Loeches</t>
  </si>
  <si>
    <t xml:space="preserve">M-206 km 2,6, 28890 Loeches</t>
  </si>
  <si>
    <t xml:space="preserve">~250 (algo justo según una reseña)</t>
  </si>
  <si>
    <t xml:space="preserve">Menús para celíacos (bodas.net). Opiniones mixtas sobre la comida.</t>
  </si>
  <si>
    <t xml:space="preserve">+34 636 96 07 02</t>
  </si>
  <si>
    <t xml:space="preserve">https://www.bodas.net/fincas/complejo-cervantes--e3033</t>
  </si>
  <si>
    <t xml:space="preserve">La Quinta de Jarama</t>
  </si>
  <si>
    <t xml:space="preserve">Quinta con jardines</t>
  </si>
  <si>
    <t xml:space="preserve">San Sebastián de los Reyes (A-1 km 26)</t>
  </si>
  <si>
    <t xml:space="preserve">Ctra. de Burgos A-1 km 26</t>
  </si>
  <si>
    <t xml:space="preserve">Muy valorada (bodas.net 4,8 con 247 opiniones).</t>
  </si>
  <si>
    <t xml:space="preserve">+34 916 58 90 24</t>
  </si>
  <si>
    <t xml:space="preserve">https://www.bodas.net/fincas/la-quinta-de-jarama--e2565</t>
  </si>
  <si>
    <t xml:space="preserve">Soto de Mozanaque</t>
  </si>
  <si>
    <t xml:space="preserve">Algete (M-111 km 16)</t>
  </si>
  <si>
    <t xml:space="preserve">Ctra. Paracuellos-Fuente el Saz M-111 km 16, 28140 Algete</t>
  </si>
  <si>
    <t xml:space="preserve">Trabaja con Eneldo Catering (entre otros)</t>
  </si>
  <si>
    <t xml:space="preserve">Gran jardín para cóctel.</t>
  </si>
  <si>
    <t xml:space="preserve">+34 916 28 12 07</t>
  </si>
  <si>
    <t xml:space="preserve">Gaztelubide Las Rozas</t>
  </si>
  <si>
    <t xml:space="preserve">Ctra. Las Rozas-El Escorial km 5</t>
  </si>
  <si>
    <t xml:space="preserve">Aparece en bodas.net entre las fincas con alojamiento.</t>
  </si>
  <si>
    <t xml:space="preserve">+34 916 37 22 02</t>
  </si>
  <si>
    <t xml:space="preserve">https://www.bodas.net/fincas/gaztelubide-las-rozas--e2010</t>
  </si>
  <si>
    <t xml:space="preserve">Finca El Monje</t>
  </si>
  <si>
    <t xml:space="preserve">Finca rústica</t>
  </si>
  <si>
    <t xml:space="preserve">Boadilla del Monte (M-513 km 10,6)</t>
  </si>
  <si>
    <t xml:space="preserve">M-513 km 10,6, 28669 Boadilla del Monte</t>
  </si>
  <si>
    <t xml:space="preserve">Catering de la finca</t>
  </si>
  <si>
    <t xml:space="preserve">Estilo rústico.</t>
  </si>
  <si>
    <t xml:space="preserve">+34 915 34 23 87</t>
  </si>
  <si>
    <t xml:space="preserve">Hacienda Chapoo</t>
  </si>
  <si>
    <t xml:space="preserve">Hacienda-restaurante</t>
  </si>
  <si>
    <t xml:space="preserve">Vía de servicio A-6 / M-509 km 3,3, 28222 Majadahonda</t>
  </si>
  <si>
    <t xml:space="preserve">Menús veganos (bodas.net).</t>
  </si>
  <si>
    <t xml:space="preserve">+34 654 38 46 01</t>
  </si>
  <si>
    <t xml:space="preserve">https://www.bodas.net/fincas/hacienda-chapoo--e173041</t>
  </si>
  <si>
    <t xml:space="preserve">Real Club de Golf del Race (Ciudalcampo)</t>
  </si>
  <si>
    <t xml:space="preserve">San Sebastián de los Reyes (Ciudalcampo, A-1 km 28)</t>
  </si>
  <si>
    <t xml:space="preserve">Av. de Guadalix s/n, Ctra. A-1 km 28,1, 28707</t>
  </si>
  <si>
    <t xml:space="preserve">Menú 89–110 €/invitado (bodas.net)</t>
  </si>
  <si>
    <t xml:space="preserve">80–500</t>
  </si>
  <si>
    <t xml:space="preserve">Del club (consultar exclusividad)</t>
  </si>
  <si>
    <t xml:space="preserve">Club privado de socios que abre sus instalaciones a bodas.</t>
  </si>
  <si>
    <t xml:space="preserve">+34 916 57 00 11</t>
  </si>
  <si>
    <t xml:space="preserve">https://www.bodas.net/fincas/real-club-de-golf-del-race--e235872</t>
  </si>
  <si>
    <t xml:space="preserve">ABC Espacio</t>
  </si>
  <si>
    <t xml:space="preserve">Edificio urbano con terraza (salón)</t>
  </si>
  <si>
    <t xml:space="preserve">Madrid – Salamanca (Serrano)</t>
  </si>
  <si>
    <t xml:space="preserve">Antigua sede de ABC, C/ Serrano (coordenadas aproximadas)</t>
  </si>
  <si>
    <t xml:space="preserve">No es finca: bodas.net lo clasifica como salón (4,9 con 37 opiniones). Terraza iluminada.</t>
  </si>
  <si>
    <t xml:space="preserve">https://www.bodas.net/salones-de-boda/abc-espacio--e171015</t>
  </si>
  <si>
    <t xml:space="preserve">Faunia (Sala La Hacienda y jardines)</t>
  </si>
  <si>
    <t xml:space="preserve">Parque temático con salones</t>
  </si>
  <si>
    <t xml:space="preserve">Madrid – Valdebernardo</t>
  </si>
  <si>
    <t xml:space="preserve">Av. de las Comunidades 28, 28032 Madrid</t>
  </si>
  <si>
    <t xml:space="preserve">Restauración del parque</t>
  </si>
  <si>
    <t xml:space="preserve">Figura en bodas.net como finca, pero las reseñas recientes de Google (comuniones) son muy negativas.</t>
  </si>
  <si>
    <t xml:space="preserve">+34 911 54 74 82</t>
  </si>
  <si>
    <t xml:space="preserve">https://www.bodas.net/fincas/faunia--e3103</t>
  </si>
  <si>
    <t xml:space="preserve">El Barril de la Moraleja</t>
  </si>
  <si>
    <t xml:space="preserve">Restaurante (marisquería) con terraza</t>
  </si>
  <si>
    <t xml:space="preserve">C/ de la Estafeta 4, 28109 Alcobendas</t>
  </si>
  <si>
    <t xml:space="preserve">Restaurante con varios espacios rodeados de vegetación y amplia terraza; figura en bodas.net como lugar para banquetes. No es finca.</t>
  </si>
  <si>
    <t xml:space="preserve">+34 916 50 95 86</t>
  </si>
  <si>
    <t xml:space="preserve">https://www.bodas.net/bodas/banquetes/madrid/alcobendas</t>
  </si>
  <si>
    <t xml:space="preserve">Restaurante Finca del Valle</t>
  </si>
  <si>
    <t xml:space="preserve">Restaurante con espacio para eventos</t>
  </si>
  <si>
    <t xml:space="preserve">Madrid – Barajas</t>
  </si>
  <si>
    <t xml:space="preserve">C/ Zaorejas s/n, 28042 Madrid</t>
  </si>
  <si>
    <t xml:space="preserve">~300 (según una reseña)</t>
  </si>
  <si>
    <t xml:space="preserve">Restaurante; una reseña indica que acoge bodas de hasta 300 personas.</t>
  </si>
  <si>
    <t xml:space="preserve">+34 674 69 32 97</t>
  </si>
  <si>
    <t xml:space="preserve">La Industrial de la Blonda</t>
  </si>
  <si>
    <t xml:space="preserve">Nave industrial (estilo industrial-chic)</t>
  </si>
  <si>
    <t xml:space="preserve">Av. de Valdelaparra 33, 28108 Alcobendas</t>
  </si>
  <si>
    <t xml:space="preserve">60–250</t>
  </si>
  <si>
    <t xml:space="preserve">De la casa (mismo grupo que Finca Las Tenadas)</t>
  </si>
  <si>
    <t xml:space="preserve">No es finca; &gt;400 m² adaptables, porche y terraza exterior, parking.</t>
  </si>
  <si>
    <t xml:space="preserve">+34 915 19 47 01</t>
  </si>
  <si>
    <t xml:space="preserve">https://www.bodas.net/fincas/la-industrial-de-la-blonda--e266763</t>
  </si>
  <si>
    <t xml:space="preserve">Nobile's Restaurante</t>
  </si>
  <si>
    <t xml:space="preserve">Restaurante / salón de banquetes</t>
  </si>
  <si>
    <t xml:space="preserve">Mejorada del Campo</t>
  </si>
  <si>
    <t xml:space="preserve">Ctra. Mejorada-San Fernando km 0,65, 28840 Mejorada del Campo</t>
  </si>
  <si>
    <t xml:space="preserve">Salón de celebraciones con discoteca; no es finca.</t>
  </si>
  <si>
    <t xml:space="preserve">+34 916 79 28 13</t>
  </si>
  <si>
    <t xml:space="preserve">Fincas de boda a ≤20 km de Calle de Ayala 71 (Madrid) – parámetros, resumen y notas</t>
  </si>
  <si>
    <t xml:space="preserve">Origen</t>
  </si>
  <si>
    <t xml:space="preserve">Calle de Ayala 71, 28001 Madrid</t>
  </si>
  <si>
    <t xml:space="preserve">Latitud origen</t>
  </si>
  <si>
    <t xml:space="preserve">Coordenadas de Google Maps para Ayala 71</t>
  </si>
  <si>
    <t xml:space="preserve">Longitud origen</t>
  </si>
  <si>
    <t xml:space="preserve">Radio (km)</t>
  </si>
  <si>
    <t xml:space="preserve">Cámbialo y se recalcula la columna «¿Dentro del radio?»</t>
  </si>
  <si>
    <t xml:space="preserve">Nº de invitados para estimar el coste</t>
  </si>
  <si>
    <t xml:space="preserve">Cámbialo y se recalcula el coste orientativo (120 = media de bodas.net en fincas de Madrid)</t>
  </si>
  <si>
    <t xml:space="preserve">Por carretera suele ser 1,2–1,4 veces la distancia en línea recta</t>
  </si>
  <si>
    <t xml:space="preserve">Velocidad media estimada (km/h)</t>
  </si>
  <si>
    <t xml:space="preserve">Media realista Madrid (M-30/A-6/A-1 con algo de tráfico). Es una ESTIMACIÓN: el tiempo exacto sale en el enlace de Google Maps</t>
  </si>
  <si>
    <t xml:space="preserve">Resumen (se recalcula solo)</t>
  </si>
  <si>
    <t xml:space="preserve">Fincas en la lista principal</t>
  </si>
  <si>
    <t xml:space="preserve">…de ellas dentro del radio indicado</t>
  </si>
  <si>
    <t xml:space="preserve">Fincas con precio de menú publicado</t>
  </si>
  <si>
    <t xml:space="preserve">Precio «desde» más bajo (€/invitado)</t>
  </si>
  <si>
    <t xml:space="preserve">Precio «desde» medio (€/invitado)</t>
  </si>
  <si>
    <t xml:space="preserve">Precio «desde» más alto (€/invitado)</t>
  </si>
  <si>
    <t xml:space="preserve">Coste medio orientativo del menú para el nº de invitados de B7 (€)</t>
  </si>
  <si>
    <t xml:space="preserve">Con catering propio o exclusivo</t>
  </si>
  <si>
    <t xml:space="preserve">Con catering libre o lista de caterings (verde)</t>
  </si>
  <si>
    <t xml:space="preserve">Catering a consultar (amarillo)</t>
  </si>
  <si>
    <t xml:space="preserve">Con varios salones/espacios</t>
  </si>
  <si>
    <t xml:space="preserve">Con alojamiento en la propia finca</t>
  </si>
  <si>
    <t xml:space="preserve">Con cuarto/casita/habitación de novios confirmado</t>
  </si>
  <si>
    <t xml:space="preserve">Fincas «justo fuera» (20–24 km)</t>
  </si>
  <si>
    <t xml:space="preserve">Otros espacios ≤20 km que no son finca</t>
  </si>
  <si>
    <t xml:space="preserve">Cómo se ha hecho</t>
  </si>
  <si>
    <t xml:space="preserve">• Radio en línea recta (fórmula de Haversine) desde Ayala 71; por carretera suele ser un 20–40 % más.</t>
  </si>
  <si>
    <t xml:space="preserve">• Fuentes: fichas y listados de bodas.net (precios «desde», aforos, catering), Google Maps (ubicación, nota, reseñas, teléfono), webs y dosieres de los propios espacios (p. ej. «Bodas 2026» del Club de Campo), fichas de esmadrid.com y naboo.app, y prensa (¡HOLA! Novias, Marie Claire, Time Out). Consultado en octubre de 2026; 2ª revisión el 25/10/2026.</t>
  </si>
  <si>
    <t xml:space="preserve">• «Precio menú desde» es el mínimo anunciado por invitado; sube en sábados de temporada alta y con extras, IVA y mínimos de invitados. El coste orientativo solo multiplica ese mínimo por el nº de invitados de B7.</t>
  </si>
  <si>
    <t xml:space="preserve">• «No consta – preguntar» = no hay dato público fiable. El cuarto de novios casi nunca se publica.</t>
  </si>
  <si>
    <t xml:space="preserve">• Alcance: fincas, quintas, palacios/castillos con jardín, clubes con jardines y fincas-restaurante que celebran bodas. Hoteles urbanos y salones sin jardín quedan fuera; los dudosos están en «Otros espacios».</t>
  </si>
  <si>
    <t xml:space="preserve">Leyenda (columna «¿Catering libre?»)</t>
  </si>
  <si>
    <t xml:space="preserve">• Rojo: catering propio o exclusivo.  • Verde: catering aparte o lista de caterings.  • Amarillo: hay que preguntarlo.  • Celdas amarillas B6 y B7: parámetros editables.</t>
  </si>
  <si>
    <t xml:space="preserve">Preguntas para la visita (lo que casi nunca se publica)</t>
  </si>
  <si>
    <t xml:space="preserve">1. ¿Hay cuarto o sala para que se vistan los novios? ¿Desde qué hora se puede usar?</t>
  </si>
  <si>
    <t xml:space="preserve">2. ¿El catering es exclusivo? Si no, ¿hay lista cerrada o canon por traer catering externo?</t>
  </si>
  <si>
    <t xml:space="preserve">3. ¿El precio por invitado incluye IVA, cóctel, barra libre (cuántas horas), recena, decoración, DJ y degustación?</t>
  </si>
  <si>
    <t xml:space="preserve">4. ¿Hay mínimo de invitados o facturación mínima? ¿Qué recargo si no se llega?</t>
  </si>
  <si>
    <t xml:space="preserve">5. ¿Se celebra una sola boda al día o puede haber otros eventos a la vez?</t>
  </si>
  <si>
    <t xml:space="preserve">6. ¿Hora límite de fiesta y precio de la hora extra?</t>
  </si>
  <si>
    <t xml:space="preserve">7. ¿Plan B si llueve (carpa, salón)? ¿Tiene coste?</t>
  </si>
  <si>
    <t xml:space="preserve">8. ¿Ceremonia civil en la finca: hay coste de montaje? ¿Necesita oficiante externo?</t>
  </si>
  <si>
    <t xml:space="preserve">9. ¿Parking y acceso para autobuses? ¿Exclusividad de música, fotógrafo o flores?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</si>
</sst>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@"/>
    <numFmt numFmtId="167" formatCode="#,##0&quot; €&quot;"/>
    <numFmt numFmtId="168" formatCode="0&quot; min&quot;"/>
    <numFmt numFmtId="169" formatCode="0.0"/>
    <numFmt numFmtId="170" formatCode="#,##0&quot; €&quot;;;\—"/>
    <numFmt numFmtId="171" formatCode="#,##0;;\—"/>
    <numFmt numFmtId="172" formatCode="#,##0&quot; €&quot;"/>
    <numFmt numFmtId="173" formatCode="General"/>
    <numFmt numFmtId="174" formatCode="#,##0"/>
    <numFmt numFmtId="175" formatCode="0.0&quot; km&quot;"/>
    <numFmt numFmtId="176" formatCode="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3D9B5"/>
      <name val="Arial"/>
      <family val="0"/>
      <charset val="1"/>
    </font>
    <font>
      <b val="true"/>
      <sz val="9"/>
      <color rgb="FF9A6B2F"/>
      <name val="Arial"/>
      <family val="0"/>
      <charset val="1"/>
    </font>
    <font>
      <b val="true"/>
      <sz val="20"/>
      <color rgb="FF1F4E5A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sz val="9"/>
      <color rgb="FF6B6B6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7"/>
      <color rgb="FF000000"/>
      <name val="Calibri"/>
      <family val="2"/>
    </font>
    <font>
      <sz val="7.5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888888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11"/>
      <color rgb="FF1F4E5A"/>
      <name val="Arial"/>
      <family val="0"/>
      <charset val="1"/>
    </font>
    <font>
      <sz val="10"/>
      <color rgb="FF22323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22"/>
      <color rgb="FF1F4E5A"/>
      <name val="Arial"/>
      <family val="0"/>
      <charset val="1"/>
    </font>
    <font>
      <sz val="11"/>
      <color rgb="FF1F4E5A"/>
      <name val="Arial"/>
      <family val="0"/>
      <charset val="1"/>
    </font>
    <font>
      <b val="true"/>
      <sz val="10"/>
      <color rgb="FF22323A"/>
      <name val="Arial"/>
      <family val="0"/>
      <charset val="1"/>
    </font>
    <font>
      <b val="true"/>
      <sz val="10"/>
      <color rgb="FF6B6B6B"/>
      <name val="Arial"/>
      <family val="0"/>
      <charset val="1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A"/>
        <bgColor rgb="FF22323A"/>
      </patternFill>
    </fill>
    <fill>
      <patternFill patternType="solid">
        <fgColor rgb="FFFBF3E8"/>
        <bgColor rgb="FFF9F9F9"/>
      </patternFill>
    </fill>
    <fill>
      <patternFill patternType="solid">
        <fgColor rgb="FFF7FAFB"/>
        <bgColor rgb="FFF9F9F9"/>
      </patternFill>
    </fill>
    <fill>
      <patternFill patternType="solid">
        <fgColor rgb="FFFFF8D6"/>
        <bgColor rgb="FFFFF4CC"/>
      </patternFill>
    </fill>
    <fill>
      <patternFill patternType="solid">
        <fgColor rgb="FFF3F7F8"/>
        <bgColor rgb="FFF7FAFB"/>
      </patternFill>
    </fill>
    <fill>
      <patternFill patternType="solid">
        <fgColor rgb="FFFFFF00"/>
        <bgColor rgb="FFFFD54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medium">
        <color rgb="FFF2A65A"/>
      </top>
      <bottom/>
      <diagonal/>
    </border>
    <border diagonalUp="false" diagonalDown="false">
      <left/>
      <right/>
      <top/>
      <bottom style="medium">
        <color rgb="FFF2A65A"/>
      </bottom>
      <diagonal/>
    </border>
    <border diagonalUp="false" diagonalDown="false">
      <left/>
      <right/>
      <top/>
      <bottom style="hair">
        <color rgb="FFC9D2D6"/>
      </bottom>
      <diagonal/>
    </border>
    <border diagonalUp="false" diagonalDown="false">
      <left style="medium">
        <color rgb="FFF2A65A"/>
      </left>
      <right style="medium">
        <color rgb="FFF2A65A"/>
      </right>
      <top style="medium">
        <color rgb="FFF2A65A"/>
      </top>
      <bottom style="medium">
        <color rgb="FFF2A65A"/>
      </bottom>
      <diagonal/>
    </border>
    <border diagonalUp="false" diagonalDown="false">
      <left style="thin">
        <color rgb="FFD0D7DA"/>
      </left>
      <right style="thin">
        <color rgb="FFD0D7DA"/>
      </right>
      <top style="thin">
        <color rgb="FFD0D7DA"/>
      </top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4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4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FDE2E1"/>
        </patternFill>
      </fill>
    </dxf>
    <dxf>
      <fill>
        <patternFill>
          <bgColor rgb="FFDFF2E1"/>
        </patternFill>
      </fill>
    </dxf>
    <dxf>
      <fill>
        <patternFill>
          <bgColor rgb="FFFFF4CC"/>
        </patternFill>
      </fill>
    </dxf>
    <dxf>
      <font>
        <b val="1"/>
        <color rgb="FFB26A00"/>
      </font>
    </dxf>
    <dxf>
      <font>
        <b val="1"/>
        <color rgb="FFC0392B"/>
      </font>
    </dxf>
    <dxf>
      <font>
        <b val="1"/>
        <color rgb="FF2E7D32"/>
      </font>
    </dxf>
    <dxf>
      <font>
        <color rgb="FFFFFFFF"/>
      </font>
    </dxf>
    <dxf>
      <fill>
        <patternFill patternType="solid">
          <fgColor rgb="FF1F4E5A"/>
          <bgColor rgb="FF000000"/>
        </patternFill>
      </fill>
    </dxf>
    <dxf>
      <fill>
        <patternFill patternType="solid">
          <fgColor rgb="FFF3F7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FF2E1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9F9F9"/>
      <rgbColor rgb="FF800000"/>
      <rgbColor rgb="FF008000"/>
      <rgbColor rgb="FF000080"/>
      <rgbColor rgb="FF9A6B2F"/>
      <rgbColor rgb="FF800080"/>
      <rgbColor rgb="FF008080"/>
      <rgbColor rgb="FFBBBBBB"/>
      <rgbColor rgb="FF878787"/>
      <rgbColor rgb="FF888888"/>
      <rgbColor rgb="FF666666"/>
      <rgbColor rgb="FFFFF8D6"/>
      <rgbColor rgb="FFF3F7F8"/>
      <rgbColor rgb="FF660066"/>
      <rgbColor rgb="FFE57373"/>
      <rgbColor rgb="FF0563C1"/>
      <rgbColor rgb="FFC9D2D6"/>
      <rgbColor rgb="FF000080"/>
      <rgbColor rgb="FFFF00FF"/>
      <rgbColor rgb="FFFBF3E8"/>
      <rgbColor rgb="FF00FFFF"/>
      <rgbColor rgb="FF800080"/>
      <rgbColor rgb="FF800000"/>
      <rgbColor rgb="FF008080"/>
      <rgbColor rgb="FF0000FF"/>
      <rgbColor rgb="FF00CCFF"/>
      <rgbColor rgb="FFF7FAFB"/>
      <rgbColor rgb="FFDFF2E1"/>
      <rgbColor rgb="FFFFF4CC"/>
      <rgbColor rgb="FFB8C4CA"/>
      <rgbColor rgb="FFD9D9D9"/>
      <rgbColor rgb="FFD0D7DA"/>
      <rgbColor rgb="FFF3D9B5"/>
      <rgbColor rgb="FF4F81BD"/>
      <rgbColor rgb="FF66BB6A"/>
      <rgbColor rgb="FFFDE2E1"/>
      <rgbColor rgb="FFFFD54F"/>
      <rgbColor rgb="FFF2A65A"/>
      <rgbColor rgb="FFB26A00"/>
      <rgbColor rgb="FF7C6BB0"/>
      <rgbColor rgb="FF9AA5AB"/>
      <rgbColor rgb="FF1F4E5A"/>
      <rgbColor rgb="FF2E7D32"/>
      <rgbColor rgb="FF003300"/>
      <rgbColor rgb="FF333300"/>
      <rgbColor rgb="FFC0392B"/>
      <rgbColor rgb="FF6B6B6B"/>
      <rgbColor rgb="FF555555"/>
      <rgbColor rgb="FF223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Menú «desde» (€/invitado) · sin barra = no publicado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Dashboard!G89</c:f>
              <c:strCache>
                <c:ptCount val="1"/>
                <c:pt idx="0">
                  <c:v>Menú desde</c:v>
                </c:pt>
              </c:strCache>
            </c:strRef>
          </c:tx>
          <c:spPr>
            <a:solidFill>
              <a:srgbClr val="f2a65a"/>
            </a:solidFill>
            <a:ln w="9360">
              <a:solidFill>
                <a:srgbClr val="f2a65a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7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Dashboard!$B$90:$B$127</c:f>
              <c:strCache>
                <c:ptCount val="38"/>
                <c:pt idx="0">
                  <c:v>El Jardín de Ventas</c:v>
                </c:pt>
                <c:pt idx="1">
                  <c:v>Real Fábrica de Tapices &amp; El Puchero de Plata</c:v>
                </c:pt>
                <c:pt idx="2">
                  <c:v>La Quinta by Madrid Catering</c:v>
                </c:pt>
                <c:pt idx="3">
                  <c:v>Quinta de los Molinos by Elba</c:v>
                </c:pt>
                <c:pt idx="4">
                  <c:v>Palacete / Complejo Duques de Pastrana</c:v>
                </c:pt>
                <c:pt idx="5">
                  <c:v>Café de Oriente Museo del Traje</c:v>
                </c:pt>
                <c:pt idx="6">
                  <c:v>Casa de Burgos</c:v>
                </c:pt>
                <c:pt idx="7">
                  <c:v>La Masía de José Luis</c:v>
                </c:pt>
                <c:pt idx="8">
                  <c:v>Club de Campo Villa de Madrid</c:v>
                </c:pt>
                <c:pt idx="9">
                  <c:v>Mirador del Olivar</c:v>
                </c:pt>
                <c:pt idx="10">
                  <c:v>Club de Tiro de Madrid</c:v>
                </c:pt>
                <c:pt idx="11">
                  <c:v>Fuentearcos</c:v>
                </c:pt>
                <c:pt idx="12">
                  <c:v>Finca Solimpar</c:v>
                </c:pt>
                <c:pt idx="13">
                  <c:v>El Jardín de Somontes (Eventos Somontes)</c:v>
                </c:pt>
                <c:pt idx="14">
                  <c:v>La Casa de Mónico</c:v>
                </c:pt>
                <c:pt idx="15">
                  <c:v>Finca La Gaivota</c:v>
                </c:pt>
                <c:pt idx="16">
                  <c:v>Finca Astilbe (by Eneldo)</c:v>
                </c:pt>
                <c:pt idx="17">
                  <c:v>El Mirador de Cuatrovientos (incl. Finca Las Palmeras)</c:v>
                </c:pt>
                <c:pt idx="18">
                  <c:v>U-Zalacaín La Finca</c:v>
                </c:pt>
                <c:pt idx="19">
                  <c:v>Finca La Muñoza (La Cococha)</c:v>
                </c:pt>
                <c:pt idx="20">
                  <c:v>Real Club La Moraleja</c:v>
                </c:pt>
                <c:pt idx="21">
                  <c:v>Finca Petit Moraleja</c:v>
                </c:pt>
                <c:pt idx="22">
                  <c:v>El Jardín de la Florida</c:v>
                </c:pt>
                <c:pt idx="23">
                  <c:v>Initium (Artigot Catering)</c:v>
                </c:pt>
                <c:pt idx="24">
                  <c:v>Finca El Chaparral</c:v>
                </c:pt>
                <c:pt idx="25">
                  <c:v>Torzares (finca La Escorzonera)</c:v>
                </c:pt>
                <c:pt idx="26">
                  <c:v>Restaurante San Francisco (El Pardo)</c:v>
                </c:pt>
                <c:pt idx="27">
                  <c:v>Palacio del Negralejo (Grupo Negralejo)</c:v>
                </c:pt>
                <c:pt idx="28">
                  <c:v>Jardines del Negralejo (Grupo Negralejo)</c:v>
                </c:pt>
                <c:pt idx="29">
                  <c:v>Finca La Alquería</c:v>
                </c:pt>
                <c:pt idx="30">
                  <c:v>Finca Las Jarillas</c:v>
                </c:pt>
                <c:pt idx="31">
                  <c:v>El Antiguo Convento de Boadilla del Monte</c:v>
                </c:pt>
                <c:pt idx="32">
                  <c:v>Palacio de Aldovea</c:v>
                </c:pt>
                <c:pt idx="33">
                  <c:v>Finca Villa María</c:v>
                </c:pt>
                <c:pt idx="34">
                  <c:v>Gasterea Finca Restaurante</c:v>
                </c:pt>
                <c:pt idx="35">
                  <c:v>Finca La Constancia</c:v>
                </c:pt>
                <c:pt idx="36">
                  <c:v>Villa Laureana</c:v>
                </c:pt>
                <c:pt idx="37">
                  <c:v>Señorío de Ajuria</c:v>
                </c:pt>
              </c:strCache>
            </c:strRef>
          </c:cat>
          <c:val>
            <c:numRef>
              <c:f>Dashboard!$G$90:$G$127</c:f>
              <c:numCache>
                <c:formatCode>#,##0" €";;\—</c:formatCode>
                <c:ptCount val="38"/>
                <c:pt idx="0">
                  <c:v>76</c:v>
                </c:pt>
                <c:pt idx="1">
                  <c:v>138</c:v>
                </c:pt>
                <c:pt idx="2">
                  <c:v>0</c:v>
                </c:pt>
                <c:pt idx="3">
                  <c:v>138</c:v>
                </c:pt>
                <c:pt idx="4">
                  <c:v>0</c:v>
                </c:pt>
                <c:pt idx="5">
                  <c:v>140</c:v>
                </c:pt>
                <c:pt idx="6">
                  <c:v>100</c:v>
                </c:pt>
                <c:pt idx="7">
                  <c:v>140</c:v>
                </c:pt>
                <c:pt idx="8">
                  <c:v>0</c:v>
                </c:pt>
                <c:pt idx="9">
                  <c:v>99</c:v>
                </c:pt>
                <c:pt idx="10">
                  <c:v>130</c:v>
                </c:pt>
                <c:pt idx="11">
                  <c:v>120</c:v>
                </c:pt>
                <c:pt idx="12">
                  <c:v>90</c:v>
                </c:pt>
                <c:pt idx="13">
                  <c:v>0</c:v>
                </c:pt>
                <c:pt idx="14">
                  <c:v>185</c:v>
                </c:pt>
                <c:pt idx="15">
                  <c:v>0</c:v>
                </c:pt>
                <c:pt idx="16">
                  <c:v>145</c:v>
                </c:pt>
                <c:pt idx="17">
                  <c:v>99</c:v>
                </c:pt>
                <c:pt idx="18">
                  <c:v>135</c:v>
                </c:pt>
                <c:pt idx="19">
                  <c:v>125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150</c:v>
                </c:pt>
                <c:pt idx="28">
                  <c:v>150</c:v>
                </c:pt>
                <c:pt idx="29">
                  <c:v>100</c:v>
                </c:pt>
                <c:pt idx="30">
                  <c:v>0</c:v>
                </c:pt>
                <c:pt idx="31">
                  <c:v>145</c:v>
                </c:pt>
                <c:pt idx="32">
                  <c:v>0</c:v>
                </c:pt>
                <c:pt idx="33">
                  <c:v>145</c:v>
                </c:pt>
                <c:pt idx="34">
                  <c:v>120</c:v>
                </c:pt>
                <c:pt idx="35">
                  <c:v>50</c:v>
                </c:pt>
                <c:pt idx="36">
                  <c:v>120</c:v>
                </c:pt>
                <c:pt idx="37">
                  <c:v>90</c:v>
                </c:pt>
              </c:numCache>
            </c:numRef>
          </c:val>
        </c:ser>
        <c:gapWidth val="40"/>
        <c:overlap val="0"/>
        <c:axId val="82360521"/>
        <c:axId val="53763761"/>
      </c:barChart>
      <c:catAx>
        <c:axId val="823605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63761"/>
        <c:crosses val="autoZero"/>
        <c:auto val="1"/>
        <c:lblAlgn val="ctr"/>
        <c:lblOffset val="100"/>
        <c:noMultiLvlLbl val="0"/>
      </c:catAx>
      <c:valAx>
        <c:axId val="53763761"/>
        <c:scaling>
          <c:orientation val="minMax"/>
        </c:scaling>
        <c:delete val="0"/>
        <c:axPos val="l"/>
        <c:numFmt formatCode="#,##0&quot; €&quot;;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605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Minutos en coche estimados desde Ayala 71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Dashboard!F89</c:f>
              <c:strCache>
                <c:ptCount val="1"/>
                <c:pt idx="0">
                  <c:v>Min. coche</c:v>
                </c:pt>
              </c:strCache>
            </c:strRef>
          </c:tx>
          <c:spPr>
            <a:solidFill>
              <a:srgbClr val="1f4e5a"/>
            </a:solidFill>
            <a:ln w="9360">
              <a:solidFill>
                <a:srgbClr val="1f4e5a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7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Dashboard!$B$90:$B$127</c:f>
              <c:strCache>
                <c:ptCount val="38"/>
                <c:pt idx="0">
                  <c:v>El Jardín de Ventas</c:v>
                </c:pt>
                <c:pt idx="1">
                  <c:v>Real Fábrica de Tapices &amp; El Puchero de Plata</c:v>
                </c:pt>
                <c:pt idx="2">
                  <c:v>La Quinta by Madrid Catering</c:v>
                </c:pt>
                <c:pt idx="3">
                  <c:v>Quinta de los Molinos by Elba</c:v>
                </c:pt>
                <c:pt idx="4">
                  <c:v>Palacete / Complejo Duques de Pastrana</c:v>
                </c:pt>
                <c:pt idx="5">
                  <c:v>Café de Oriente Museo del Traje</c:v>
                </c:pt>
                <c:pt idx="6">
                  <c:v>Casa de Burgos</c:v>
                </c:pt>
                <c:pt idx="7">
                  <c:v>La Masía de José Luis</c:v>
                </c:pt>
                <c:pt idx="8">
                  <c:v>Club de Campo Villa de Madrid</c:v>
                </c:pt>
                <c:pt idx="9">
                  <c:v>Mirador del Olivar</c:v>
                </c:pt>
                <c:pt idx="10">
                  <c:v>Club de Tiro de Madrid</c:v>
                </c:pt>
                <c:pt idx="11">
                  <c:v>Fuentearcos</c:v>
                </c:pt>
                <c:pt idx="12">
                  <c:v>Finca Solimpar</c:v>
                </c:pt>
                <c:pt idx="13">
                  <c:v>El Jardín de Somontes (Eventos Somontes)</c:v>
                </c:pt>
                <c:pt idx="14">
                  <c:v>La Casa de Mónico</c:v>
                </c:pt>
                <c:pt idx="15">
                  <c:v>Finca La Gaivota</c:v>
                </c:pt>
                <c:pt idx="16">
                  <c:v>Finca Astilbe (by Eneldo)</c:v>
                </c:pt>
                <c:pt idx="17">
                  <c:v>El Mirador de Cuatrovientos (incl. Finca Las Palmeras)</c:v>
                </c:pt>
                <c:pt idx="18">
                  <c:v>U-Zalacaín La Finca</c:v>
                </c:pt>
                <c:pt idx="19">
                  <c:v>Finca La Muñoza (La Cococha)</c:v>
                </c:pt>
                <c:pt idx="20">
                  <c:v>Real Club La Moraleja</c:v>
                </c:pt>
                <c:pt idx="21">
                  <c:v>Finca Petit Moraleja</c:v>
                </c:pt>
                <c:pt idx="22">
                  <c:v>El Jardín de la Florida</c:v>
                </c:pt>
                <c:pt idx="23">
                  <c:v>Initium (Artigot Catering)</c:v>
                </c:pt>
                <c:pt idx="24">
                  <c:v>Finca El Chaparral</c:v>
                </c:pt>
                <c:pt idx="25">
                  <c:v>Torzares (finca La Escorzonera)</c:v>
                </c:pt>
                <c:pt idx="26">
                  <c:v>Restaurante San Francisco (El Pardo)</c:v>
                </c:pt>
                <c:pt idx="27">
                  <c:v>Palacio del Negralejo (Grupo Negralejo)</c:v>
                </c:pt>
                <c:pt idx="28">
                  <c:v>Jardines del Negralejo (Grupo Negralejo)</c:v>
                </c:pt>
                <c:pt idx="29">
                  <c:v>Finca La Alquería</c:v>
                </c:pt>
                <c:pt idx="30">
                  <c:v>Finca Las Jarillas</c:v>
                </c:pt>
                <c:pt idx="31">
                  <c:v>El Antiguo Convento de Boadilla del Monte</c:v>
                </c:pt>
                <c:pt idx="32">
                  <c:v>Palacio de Aldovea</c:v>
                </c:pt>
                <c:pt idx="33">
                  <c:v>Finca Villa María</c:v>
                </c:pt>
                <c:pt idx="34">
                  <c:v>Gasterea Finca Restaurante</c:v>
                </c:pt>
                <c:pt idx="35">
                  <c:v>Finca La Constancia</c:v>
                </c:pt>
                <c:pt idx="36">
                  <c:v>Villa Laureana</c:v>
                </c:pt>
                <c:pt idx="37">
                  <c:v>Señorío de Ajuria</c:v>
                </c:pt>
              </c:strCache>
            </c:strRef>
          </c:cat>
          <c:val>
            <c:numRef>
              <c:f>Dashboard!$F$90:$F$127</c:f>
              <c:numCache>
                <c:formatCode>0</c:formatCode>
                <c:ptCount val="38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17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29</c:v>
                </c:pt>
                <c:pt idx="30">
                  <c:v>32</c:v>
                </c:pt>
                <c:pt idx="31">
                  <c:v>33</c:v>
                </c:pt>
                <c:pt idx="32">
                  <c:v>33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37</c:v>
                </c:pt>
                <c:pt idx="37">
                  <c:v>37</c:v>
                </c:pt>
              </c:numCache>
            </c:numRef>
          </c:val>
        </c:ser>
        <c:gapWidth val="40"/>
        <c:overlap val="0"/>
        <c:axId val="52543877"/>
        <c:axId val="75485569"/>
      </c:barChart>
      <c:catAx>
        <c:axId val="525438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85569"/>
        <c:crosses val="autoZero"/>
        <c:auto val="1"/>
        <c:lblAlgn val="ctr"/>
        <c:lblOffset val="100"/>
        <c:noMultiLvlLbl val="0"/>
      </c:catAx>
      <c:valAx>
        <c:axId val="7548556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43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Aforo máximo · sin barra = no publicado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Dashboard!H89</c:f>
              <c:strCache>
                <c:ptCount val="1"/>
                <c:pt idx="0">
                  <c:v>Aforo máx.</c:v>
                </c:pt>
              </c:strCache>
            </c:strRef>
          </c:tx>
          <c:spPr>
            <a:solidFill>
              <a:srgbClr val="7c6bb0"/>
            </a:solidFill>
            <a:ln w="9360">
              <a:solidFill>
                <a:srgbClr val="7c6bb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7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Dashboard!$B$90:$B$127</c:f>
              <c:strCache>
                <c:ptCount val="38"/>
                <c:pt idx="0">
                  <c:v>El Jardín de Ventas</c:v>
                </c:pt>
                <c:pt idx="1">
                  <c:v>Real Fábrica de Tapices &amp; El Puchero de Plata</c:v>
                </c:pt>
                <c:pt idx="2">
                  <c:v>La Quinta by Madrid Catering</c:v>
                </c:pt>
                <c:pt idx="3">
                  <c:v>Quinta de los Molinos by Elba</c:v>
                </c:pt>
                <c:pt idx="4">
                  <c:v>Palacete / Complejo Duques de Pastrana</c:v>
                </c:pt>
                <c:pt idx="5">
                  <c:v>Café de Oriente Museo del Traje</c:v>
                </c:pt>
                <c:pt idx="6">
                  <c:v>Casa de Burgos</c:v>
                </c:pt>
                <c:pt idx="7">
                  <c:v>La Masía de José Luis</c:v>
                </c:pt>
                <c:pt idx="8">
                  <c:v>Club de Campo Villa de Madrid</c:v>
                </c:pt>
                <c:pt idx="9">
                  <c:v>Mirador del Olivar</c:v>
                </c:pt>
                <c:pt idx="10">
                  <c:v>Club de Tiro de Madrid</c:v>
                </c:pt>
                <c:pt idx="11">
                  <c:v>Fuentearcos</c:v>
                </c:pt>
                <c:pt idx="12">
                  <c:v>Finca Solimpar</c:v>
                </c:pt>
                <c:pt idx="13">
                  <c:v>El Jardín de Somontes (Eventos Somontes)</c:v>
                </c:pt>
                <c:pt idx="14">
                  <c:v>La Casa de Mónico</c:v>
                </c:pt>
                <c:pt idx="15">
                  <c:v>Finca La Gaivota</c:v>
                </c:pt>
                <c:pt idx="16">
                  <c:v>Finca Astilbe (by Eneldo)</c:v>
                </c:pt>
                <c:pt idx="17">
                  <c:v>El Mirador de Cuatrovientos (incl. Finca Las Palmeras)</c:v>
                </c:pt>
                <c:pt idx="18">
                  <c:v>U-Zalacaín La Finca</c:v>
                </c:pt>
                <c:pt idx="19">
                  <c:v>Finca La Muñoza (La Cococha)</c:v>
                </c:pt>
                <c:pt idx="20">
                  <c:v>Real Club La Moraleja</c:v>
                </c:pt>
                <c:pt idx="21">
                  <c:v>Finca Petit Moraleja</c:v>
                </c:pt>
                <c:pt idx="22">
                  <c:v>El Jardín de la Florida</c:v>
                </c:pt>
                <c:pt idx="23">
                  <c:v>Initium (Artigot Catering)</c:v>
                </c:pt>
                <c:pt idx="24">
                  <c:v>Finca El Chaparral</c:v>
                </c:pt>
                <c:pt idx="25">
                  <c:v>Torzares (finca La Escorzonera)</c:v>
                </c:pt>
                <c:pt idx="26">
                  <c:v>Restaurante San Francisco (El Pardo)</c:v>
                </c:pt>
                <c:pt idx="27">
                  <c:v>Palacio del Negralejo (Grupo Negralejo)</c:v>
                </c:pt>
                <c:pt idx="28">
                  <c:v>Jardines del Negralejo (Grupo Negralejo)</c:v>
                </c:pt>
                <c:pt idx="29">
                  <c:v>Finca La Alquería</c:v>
                </c:pt>
                <c:pt idx="30">
                  <c:v>Finca Las Jarillas</c:v>
                </c:pt>
                <c:pt idx="31">
                  <c:v>El Antiguo Convento de Boadilla del Monte</c:v>
                </c:pt>
                <c:pt idx="32">
                  <c:v>Palacio de Aldovea</c:v>
                </c:pt>
                <c:pt idx="33">
                  <c:v>Finca Villa María</c:v>
                </c:pt>
                <c:pt idx="34">
                  <c:v>Gasterea Finca Restaurante</c:v>
                </c:pt>
                <c:pt idx="35">
                  <c:v>Finca La Constancia</c:v>
                </c:pt>
                <c:pt idx="36">
                  <c:v>Villa Laureana</c:v>
                </c:pt>
                <c:pt idx="37">
                  <c:v>Señorío de Ajuria</c:v>
                </c:pt>
              </c:strCache>
            </c:strRef>
          </c:cat>
          <c:val>
            <c:numRef>
              <c:f>Dashboard!$H$90:$H$127</c:f>
              <c:numCache>
                <c:formatCode>#,##0;;\—</c:formatCode>
                <c:ptCount val="38"/>
                <c:pt idx="0">
                  <c:v>0</c:v>
                </c:pt>
                <c:pt idx="1">
                  <c:v>450</c:v>
                </c:pt>
                <c:pt idx="2">
                  <c:v>165</c:v>
                </c:pt>
                <c:pt idx="3">
                  <c:v>0</c:v>
                </c:pt>
                <c:pt idx="4">
                  <c:v>740</c:v>
                </c:pt>
                <c:pt idx="5">
                  <c:v>700</c:v>
                </c:pt>
                <c:pt idx="6">
                  <c:v>350</c:v>
                </c:pt>
                <c:pt idx="7">
                  <c:v>440</c:v>
                </c:pt>
                <c:pt idx="8">
                  <c:v>0</c:v>
                </c:pt>
                <c:pt idx="9">
                  <c:v>520</c:v>
                </c:pt>
                <c:pt idx="10">
                  <c:v>600</c:v>
                </c:pt>
                <c:pt idx="11">
                  <c:v>350</c:v>
                </c:pt>
                <c:pt idx="12">
                  <c:v>300</c:v>
                </c:pt>
                <c:pt idx="13">
                  <c:v>400</c:v>
                </c:pt>
                <c:pt idx="14">
                  <c:v>600</c:v>
                </c:pt>
                <c:pt idx="15">
                  <c:v>500</c:v>
                </c:pt>
                <c:pt idx="16">
                  <c:v>600</c:v>
                </c:pt>
                <c:pt idx="17">
                  <c:v>1000</c:v>
                </c:pt>
                <c:pt idx="18">
                  <c:v>450</c:v>
                </c:pt>
                <c:pt idx="19">
                  <c:v>600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270</c:v>
                </c:pt>
                <c:pt idx="24">
                  <c:v>0</c:v>
                </c:pt>
                <c:pt idx="25">
                  <c:v>400</c:v>
                </c:pt>
                <c:pt idx="26">
                  <c:v>0</c:v>
                </c:pt>
                <c:pt idx="27">
                  <c:v>400</c:v>
                </c:pt>
                <c:pt idx="28">
                  <c:v>400</c:v>
                </c:pt>
                <c:pt idx="29">
                  <c:v>1200</c:v>
                </c:pt>
                <c:pt idx="30">
                  <c:v>500</c:v>
                </c:pt>
                <c:pt idx="31">
                  <c:v>500</c:v>
                </c:pt>
                <c:pt idx="32">
                  <c:v>550</c:v>
                </c:pt>
                <c:pt idx="33">
                  <c:v>0</c:v>
                </c:pt>
                <c:pt idx="34">
                  <c:v>300</c:v>
                </c:pt>
                <c:pt idx="35">
                  <c:v>300</c:v>
                </c:pt>
                <c:pt idx="36">
                  <c:v>800</c:v>
                </c:pt>
                <c:pt idx="37">
                  <c:v>300</c:v>
                </c:pt>
              </c:numCache>
            </c:numRef>
          </c:val>
        </c:ser>
        <c:gapWidth val="40"/>
        <c:overlap val="0"/>
        <c:axId val="52596067"/>
        <c:axId val="2081672"/>
      </c:barChart>
      <c:catAx>
        <c:axId val="5259606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1672"/>
        <c:crosses val="autoZero"/>
        <c:auto val="1"/>
        <c:lblAlgn val="ctr"/>
        <c:lblOffset val="100"/>
        <c:noMultiLvlLbl val="0"/>
      </c:catAx>
      <c:valAx>
        <c:axId val="2081672"/>
        <c:scaling>
          <c:orientation val="minMax"/>
        </c:scaling>
        <c:delete val="0"/>
        <c:axPos val="l"/>
        <c:numFmt formatCode="#,##0;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96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¿Quién pone el catering?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5737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6bb6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54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Dashboard!$S$90:$S$92</c:f>
              <c:strCache>
                <c:ptCount val="3"/>
                <c:pt idx="0">
                  <c:v>Propio / exclusivo</c:v>
                </c:pt>
                <c:pt idx="1">
                  <c:v>Libre o lista</c:v>
                </c:pt>
                <c:pt idx="2">
                  <c:v>Por consultar</c:v>
                </c:pt>
              </c:strCache>
            </c:strRef>
          </c:cat>
          <c:val>
            <c:numRef>
              <c:f>Dashboard!$T$90:$T$92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Minutos en coche vs menú «desde»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"Otras fincas"</c:f>
              <c:strCache>
                <c:ptCount val="1"/>
                <c:pt idx="0">
                  <c:v>Otras fincas</c:v>
                </c:pt>
              </c:strCache>
            </c:strRef>
          </c:tx>
          <c:spPr>
            <a:solidFill>
              <a:srgbClr val="9aa5ab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9aa5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'Ficha interactiva'!$Q$13:$Q$50</c:f>
              <c:numCache>
                <c:formatCode>General</c:formatCode>
                <c:ptCount val="38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17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29</c:v>
                </c:pt>
                <c:pt idx="30">
                  <c:v>32</c:v>
                </c:pt>
                <c:pt idx="31">
                  <c:v>33</c:v>
                </c:pt>
                <c:pt idx="32">
                  <c:v>33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37</c:v>
                </c:pt>
                <c:pt idx="37">
                  <c:v>37</c:v>
                </c:pt>
              </c:numCache>
            </c:numRef>
          </c:xVal>
          <c:yVal>
            <c:numRef>
              <c:f>'Ficha interactiva'!$R$13:$R$50</c:f>
              <c:numCache>
                <c:formatCode>#,##0" €"</c:formatCode>
                <c:ptCount val="38"/>
                <c:pt idx="0">
                  <c:v>76</c:v>
                </c:pt>
                <c:pt idx="1">
                  <c:v>138</c:v>
                </c:pt>
                <c:pt idx="3">
                  <c:v>138</c:v>
                </c:pt>
                <c:pt idx="5">
                  <c:v>140</c:v>
                </c:pt>
                <c:pt idx="6">
                  <c:v>100</c:v>
                </c:pt>
                <c:pt idx="7">
                  <c:v>140</c:v>
                </c:pt>
                <c:pt idx="9">
                  <c:v>99</c:v>
                </c:pt>
                <c:pt idx="10">
                  <c:v>130</c:v>
                </c:pt>
                <c:pt idx="11">
                  <c:v>120</c:v>
                </c:pt>
                <c:pt idx="12">
                  <c:v>90</c:v>
                </c:pt>
                <c:pt idx="14">
                  <c:v>185</c:v>
                </c:pt>
                <c:pt idx="16">
                  <c:v>145</c:v>
                </c:pt>
                <c:pt idx="17">
                  <c:v>99</c:v>
                </c:pt>
                <c:pt idx="18">
                  <c:v>135</c:v>
                </c:pt>
                <c:pt idx="19">
                  <c:v>125</c:v>
                </c:pt>
                <c:pt idx="23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100</c:v>
                </c:pt>
                <c:pt idx="31">
                  <c:v>145</c:v>
                </c:pt>
                <c:pt idx="33">
                  <c:v>145</c:v>
                </c:pt>
                <c:pt idx="34">
                  <c:v>120</c:v>
                </c:pt>
                <c:pt idx="35">
                  <c:v>50</c:v>
                </c:pt>
                <c:pt idx="36">
                  <c:v>120</c:v>
                </c:pt>
                <c:pt idx="37">
                  <c:v>90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"Finca elegida"</c:f>
              <c:strCache>
                <c:ptCount val="1"/>
                <c:pt idx="0">
                  <c:v>Finca elegida</c:v>
                </c:pt>
              </c:strCache>
            </c:strRef>
          </c:tx>
          <c:spPr>
            <a:solidFill>
              <a:srgbClr val="f2a65a"/>
            </a:solidFill>
            <a:ln w="28440">
              <a:noFill/>
            </a:ln>
          </c:spPr>
          <c:marker>
            <c:symbol val="circle"/>
            <c:size val="13"/>
            <c:spPr>
              <a:solidFill>
                <a:srgbClr val="f2a65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'Ficha interactiva'!$Q$10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'Ficha interactiva'!$Q$11</c:f>
              <c:numCache>
                <c:formatCode>#,##0" €"</c:formatCode>
                <c:ptCount val="1"/>
                <c:pt idx="0">
                  <c:v>76</c:v>
                </c:pt>
              </c:numCache>
            </c:numRef>
          </c:yVal>
          <c:smooth val="1"/>
        </c:ser>
        <c:axId val="39587162"/>
        <c:axId val="28262764"/>
      </c:scatterChart>
      <c:valAx>
        <c:axId val="395871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minutos en coche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62764"/>
        <c:crosses val="autoZero"/>
        <c:crossBetween val="midCat"/>
      </c:valAx>
      <c:valAx>
        <c:axId val="28262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por invitado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871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Coste estimado con tus parámetros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'Ficha interactiva'!T12</c:f>
              <c:strCache>
                <c:ptCount val="1"/>
                <c:pt idx="0">
                  <c:v>Total (otras)</c:v>
                </c:pt>
              </c:strCache>
            </c:strRef>
          </c:tx>
          <c:spPr>
            <a:solidFill>
              <a:srgbClr val="b8c4c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'Ficha interactiva'!$P$13:$P$50</c:f>
              <c:strCache>
                <c:ptCount val="38"/>
                <c:pt idx="0">
                  <c:v>El Jardín de Ventas</c:v>
                </c:pt>
                <c:pt idx="1">
                  <c:v>Real Fábrica de Tapices &amp; El Puchero de Plata</c:v>
                </c:pt>
                <c:pt idx="2">
                  <c:v>La Quinta by Madrid Catering</c:v>
                </c:pt>
                <c:pt idx="3">
                  <c:v>Quinta de los Molinos by Elba</c:v>
                </c:pt>
                <c:pt idx="4">
                  <c:v>Palacete / Complejo Duques de Pastrana</c:v>
                </c:pt>
                <c:pt idx="5">
                  <c:v>Café de Oriente Museo del Traje</c:v>
                </c:pt>
                <c:pt idx="6">
                  <c:v>Casa de Burgos</c:v>
                </c:pt>
                <c:pt idx="7">
                  <c:v>La Masía de José Luis</c:v>
                </c:pt>
                <c:pt idx="8">
                  <c:v>Club de Campo Villa de Madrid</c:v>
                </c:pt>
                <c:pt idx="9">
                  <c:v>Mirador del Olivar</c:v>
                </c:pt>
                <c:pt idx="10">
                  <c:v>Club de Tiro de Madrid</c:v>
                </c:pt>
                <c:pt idx="11">
                  <c:v>Fuentearcos</c:v>
                </c:pt>
                <c:pt idx="12">
                  <c:v>Finca Solimpar</c:v>
                </c:pt>
                <c:pt idx="13">
                  <c:v>El Jardín de Somontes (Eventos Somontes)</c:v>
                </c:pt>
                <c:pt idx="14">
                  <c:v>La Casa de Mónico</c:v>
                </c:pt>
                <c:pt idx="15">
                  <c:v>Finca La Gaivota</c:v>
                </c:pt>
                <c:pt idx="16">
                  <c:v>Finca Astilbe (by Eneldo)</c:v>
                </c:pt>
                <c:pt idx="17">
                  <c:v>El Mirador de Cuatrovientos (incl. Finca Las Palmeras)</c:v>
                </c:pt>
                <c:pt idx="18">
                  <c:v>U-Zalacaín La Finca</c:v>
                </c:pt>
                <c:pt idx="19">
                  <c:v>Finca La Muñoza (La Cococha)</c:v>
                </c:pt>
                <c:pt idx="20">
                  <c:v>Real Club La Moraleja</c:v>
                </c:pt>
                <c:pt idx="21">
                  <c:v>Finca Petit Moraleja</c:v>
                </c:pt>
                <c:pt idx="22">
                  <c:v>El Jardín de la Florida</c:v>
                </c:pt>
                <c:pt idx="23">
                  <c:v>Initium (Artigot Catering)</c:v>
                </c:pt>
                <c:pt idx="24">
                  <c:v>Finca El Chaparral</c:v>
                </c:pt>
                <c:pt idx="25">
                  <c:v>Torzares (finca La Escorzonera)</c:v>
                </c:pt>
                <c:pt idx="26">
                  <c:v>Restaurante San Francisco (El Pardo)</c:v>
                </c:pt>
                <c:pt idx="27">
                  <c:v>Palacio del Negralejo (Grupo Negralejo)</c:v>
                </c:pt>
                <c:pt idx="28">
                  <c:v>Jardines del Negralejo (Grupo Negralejo)</c:v>
                </c:pt>
                <c:pt idx="29">
                  <c:v>Finca La Alquería</c:v>
                </c:pt>
                <c:pt idx="30">
                  <c:v>Finca Las Jarillas</c:v>
                </c:pt>
                <c:pt idx="31">
                  <c:v>El Antiguo Convento de Boadilla del Monte</c:v>
                </c:pt>
                <c:pt idx="32">
                  <c:v>Palacio de Aldovea</c:v>
                </c:pt>
                <c:pt idx="33">
                  <c:v>Finca Villa María</c:v>
                </c:pt>
                <c:pt idx="34">
                  <c:v>Gasterea Finca Restaurante</c:v>
                </c:pt>
                <c:pt idx="35">
                  <c:v>Finca La Constancia</c:v>
                </c:pt>
                <c:pt idx="36">
                  <c:v>Villa Laureana</c:v>
                </c:pt>
                <c:pt idx="37">
                  <c:v>Señorío de Ajuria</c:v>
                </c:pt>
              </c:strCache>
            </c:strRef>
          </c:cat>
          <c:val>
            <c:numRef>
              <c:f>'Ficha interactiva'!$T$13:$T$50</c:f>
              <c:numCache>
                <c:formatCode>#,##0</c:formatCode>
                <c:ptCount val="38"/>
                <c:pt idx="0">
                  <c:v>0</c:v>
                </c:pt>
                <c:pt idx="1">
                  <c:v>18216</c:v>
                </c:pt>
                <c:pt idx="2">
                  <c:v>0</c:v>
                </c:pt>
                <c:pt idx="3">
                  <c:v>18216</c:v>
                </c:pt>
                <c:pt idx="4">
                  <c:v>0</c:v>
                </c:pt>
                <c:pt idx="5">
                  <c:v>18480</c:v>
                </c:pt>
                <c:pt idx="6">
                  <c:v>13200</c:v>
                </c:pt>
                <c:pt idx="7">
                  <c:v>18480</c:v>
                </c:pt>
                <c:pt idx="8">
                  <c:v>0</c:v>
                </c:pt>
                <c:pt idx="9">
                  <c:v>13068</c:v>
                </c:pt>
                <c:pt idx="10">
                  <c:v>17160</c:v>
                </c:pt>
                <c:pt idx="11">
                  <c:v>15840</c:v>
                </c:pt>
                <c:pt idx="12">
                  <c:v>11880</c:v>
                </c:pt>
                <c:pt idx="13">
                  <c:v>0</c:v>
                </c:pt>
                <c:pt idx="14">
                  <c:v>24420</c:v>
                </c:pt>
                <c:pt idx="15">
                  <c:v>0</c:v>
                </c:pt>
                <c:pt idx="16">
                  <c:v>19140</c:v>
                </c:pt>
                <c:pt idx="17">
                  <c:v>13068</c:v>
                </c:pt>
                <c:pt idx="18">
                  <c:v>17820</c:v>
                </c:pt>
                <c:pt idx="19">
                  <c:v>16500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19800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19800</c:v>
                </c:pt>
                <c:pt idx="28">
                  <c:v>19800</c:v>
                </c:pt>
                <c:pt idx="29">
                  <c:v>13200</c:v>
                </c:pt>
                <c:pt idx="30">
                  <c:v>0</c:v>
                </c:pt>
                <c:pt idx="31">
                  <c:v>19140</c:v>
                </c:pt>
                <c:pt idx="32">
                  <c:v>0</c:v>
                </c:pt>
                <c:pt idx="33">
                  <c:v>19140</c:v>
                </c:pt>
                <c:pt idx="34">
                  <c:v>15840</c:v>
                </c:pt>
                <c:pt idx="35">
                  <c:v>6600</c:v>
                </c:pt>
                <c:pt idx="36">
                  <c:v>15840</c:v>
                </c:pt>
                <c:pt idx="37">
                  <c:v>11880</c:v>
                </c:pt>
              </c:numCache>
            </c:numRef>
          </c:val>
        </c:ser>
        <c:ser>
          <c:idx val="1"/>
          <c:order val="1"/>
          <c:tx>
            <c:strRef>
              <c:f>'Ficha interactiva'!U12</c:f>
              <c:strCache>
                <c:ptCount val="1"/>
                <c:pt idx="0">
                  <c:v>Total (elegida)</c:v>
                </c:pt>
              </c:strCache>
            </c:strRef>
          </c:tx>
          <c:spPr>
            <a:solidFill>
              <a:srgbClr val="f2a65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'Ficha interactiva'!$P$13:$P$50</c:f>
              <c:strCache>
                <c:ptCount val="38"/>
                <c:pt idx="0">
                  <c:v>El Jardín de Ventas</c:v>
                </c:pt>
                <c:pt idx="1">
                  <c:v>Real Fábrica de Tapices &amp; El Puchero de Plata</c:v>
                </c:pt>
                <c:pt idx="2">
                  <c:v>La Quinta by Madrid Catering</c:v>
                </c:pt>
                <c:pt idx="3">
                  <c:v>Quinta de los Molinos by Elba</c:v>
                </c:pt>
                <c:pt idx="4">
                  <c:v>Palacete / Complejo Duques de Pastrana</c:v>
                </c:pt>
                <c:pt idx="5">
                  <c:v>Café de Oriente Museo del Traje</c:v>
                </c:pt>
                <c:pt idx="6">
                  <c:v>Casa de Burgos</c:v>
                </c:pt>
                <c:pt idx="7">
                  <c:v>La Masía de José Luis</c:v>
                </c:pt>
                <c:pt idx="8">
                  <c:v>Club de Campo Villa de Madrid</c:v>
                </c:pt>
                <c:pt idx="9">
                  <c:v>Mirador del Olivar</c:v>
                </c:pt>
                <c:pt idx="10">
                  <c:v>Club de Tiro de Madrid</c:v>
                </c:pt>
                <c:pt idx="11">
                  <c:v>Fuentearcos</c:v>
                </c:pt>
                <c:pt idx="12">
                  <c:v>Finca Solimpar</c:v>
                </c:pt>
                <c:pt idx="13">
                  <c:v>El Jardín de Somontes (Eventos Somontes)</c:v>
                </c:pt>
                <c:pt idx="14">
                  <c:v>La Casa de Mónico</c:v>
                </c:pt>
                <c:pt idx="15">
                  <c:v>Finca La Gaivota</c:v>
                </c:pt>
                <c:pt idx="16">
                  <c:v>Finca Astilbe (by Eneldo)</c:v>
                </c:pt>
                <c:pt idx="17">
                  <c:v>El Mirador de Cuatrovientos (incl. Finca Las Palmeras)</c:v>
                </c:pt>
                <c:pt idx="18">
                  <c:v>U-Zalacaín La Finca</c:v>
                </c:pt>
                <c:pt idx="19">
                  <c:v>Finca La Muñoza (La Cococha)</c:v>
                </c:pt>
                <c:pt idx="20">
                  <c:v>Real Club La Moraleja</c:v>
                </c:pt>
                <c:pt idx="21">
                  <c:v>Finca Petit Moraleja</c:v>
                </c:pt>
                <c:pt idx="22">
                  <c:v>El Jardín de la Florida</c:v>
                </c:pt>
                <c:pt idx="23">
                  <c:v>Initium (Artigot Catering)</c:v>
                </c:pt>
                <c:pt idx="24">
                  <c:v>Finca El Chaparral</c:v>
                </c:pt>
                <c:pt idx="25">
                  <c:v>Torzares (finca La Escorzonera)</c:v>
                </c:pt>
                <c:pt idx="26">
                  <c:v>Restaurante San Francisco (El Pardo)</c:v>
                </c:pt>
                <c:pt idx="27">
                  <c:v>Palacio del Negralejo (Grupo Negralejo)</c:v>
                </c:pt>
                <c:pt idx="28">
                  <c:v>Jardines del Negralejo (Grupo Negralejo)</c:v>
                </c:pt>
                <c:pt idx="29">
                  <c:v>Finca La Alquería</c:v>
                </c:pt>
                <c:pt idx="30">
                  <c:v>Finca Las Jarillas</c:v>
                </c:pt>
                <c:pt idx="31">
                  <c:v>El Antiguo Convento de Boadilla del Monte</c:v>
                </c:pt>
                <c:pt idx="32">
                  <c:v>Palacio de Aldovea</c:v>
                </c:pt>
                <c:pt idx="33">
                  <c:v>Finca Villa María</c:v>
                </c:pt>
                <c:pt idx="34">
                  <c:v>Gasterea Finca Restaurante</c:v>
                </c:pt>
                <c:pt idx="35">
                  <c:v>Finca La Constancia</c:v>
                </c:pt>
                <c:pt idx="36">
                  <c:v>Villa Laureana</c:v>
                </c:pt>
                <c:pt idx="37">
                  <c:v>Señorío de Ajuria</c:v>
                </c:pt>
              </c:strCache>
            </c:strRef>
          </c:cat>
          <c:val>
            <c:numRef>
              <c:f>'Ficha interactiva'!$U$13:$U$50</c:f>
              <c:numCache>
                <c:formatCode>#,##0</c:formatCode>
                <c:ptCount val="38"/>
                <c:pt idx="0">
                  <c:v>10032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</c:ser>
        <c:gapWidth val="40"/>
        <c:overlap val="100"/>
        <c:axId val="70107779"/>
        <c:axId val="27369367"/>
      </c:barChart>
      <c:catAx>
        <c:axId val="701077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69367"/>
        <c:crosses val="autoZero"/>
        <c:auto val="1"/>
        <c:lblAlgn val="ctr"/>
        <c:lblOffset val="100"/>
        <c:noMultiLvlLbl val="0"/>
      </c:catAx>
      <c:valAx>
        <c:axId val="273693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07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8</xdr:col>
      <xdr:colOff>129960</xdr:colOff>
      <xdr:row>45</xdr:row>
      <xdr:rowOff>18720</xdr:rowOff>
    </xdr:to>
    <xdr:graphicFrame>
      <xdr:nvGraphicFramePr>
        <xdr:cNvPr id="0" name="Chart 1"/>
        <xdr:cNvGraphicFramePr/>
      </xdr:nvGraphicFramePr>
      <xdr:xfrm>
        <a:off x="141120" y="2295360"/>
        <a:ext cx="6299640" cy="70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16</xdr:col>
      <xdr:colOff>129960</xdr:colOff>
      <xdr:row>45</xdr:row>
      <xdr:rowOff>18720</xdr:rowOff>
    </xdr:to>
    <xdr:graphicFrame>
      <xdr:nvGraphicFramePr>
        <xdr:cNvPr id="1" name="Chart 2"/>
        <xdr:cNvGraphicFramePr/>
      </xdr:nvGraphicFramePr>
      <xdr:xfrm>
        <a:off x="7192080" y="2295360"/>
        <a:ext cx="6299640" cy="70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8</xdr:col>
      <xdr:colOff>129960</xdr:colOff>
      <xdr:row>82</xdr:row>
      <xdr:rowOff>18720</xdr:rowOff>
    </xdr:to>
    <xdr:graphicFrame>
      <xdr:nvGraphicFramePr>
        <xdr:cNvPr id="2" name="Chart 3"/>
        <xdr:cNvGraphicFramePr/>
      </xdr:nvGraphicFramePr>
      <xdr:xfrm>
        <a:off x="141120" y="9744120"/>
        <a:ext cx="6299640" cy="70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47</xdr:row>
      <xdr:rowOff>0</xdr:rowOff>
    </xdr:from>
    <xdr:to>
      <xdr:col>16</xdr:col>
      <xdr:colOff>129960</xdr:colOff>
      <xdr:row>64</xdr:row>
      <xdr:rowOff>199080</xdr:rowOff>
    </xdr:to>
    <xdr:graphicFrame>
      <xdr:nvGraphicFramePr>
        <xdr:cNvPr id="3" name="Chart 4"/>
        <xdr:cNvGraphicFramePr/>
      </xdr:nvGraphicFramePr>
      <xdr:xfrm>
        <a:off x="7192080" y="9744120"/>
        <a:ext cx="62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0</xdr:rowOff>
    </xdr:from>
    <xdr:to>
      <xdr:col>7</xdr:col>
      <xdr:colOff>199080</xdr:colOff>
      <xdr:row>69</xdr:row>
      <xdr:rowOff>37080</xdr:rowOff>
    </xdr:to>
    <xdr:graphicFrame>
      <xdr:nvGraphicFramePr>
        <xdr:cNvPr id="4" name="Chart 1"/>
        <xdr:cNvGraphicFramePr/>
      </xdr:nvGraphicFramePr>
      <xdr:xfrm>
        <a:off x="141120" y="140302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52</xdr:row>
      <xdr:rowOff>0</xdr:rowOff>
    </xdr:from>
    <xdr:to>
      <xdr:col>15</xdr:col>
      <xdr:colOff>26280</xdr:colOff>
      <xdr:row>85</xdr:row>
      <xdr:rowOff>104400</xdr:rowOff>
    </xdr:to>
    <xdr:graphicFrame>
      <xdr:nvGraphicFramePr>
        <xdr:cNvPr id="5" name="Chart 2"/>
        <xdr:cNvGraphicFramePr/>
      </xdr:nvGraphicFramePr>
      <xdr:xfrm>
        <a:off x="6061680" y="14030280"/>
        <a:ext cx="6299640" cy="70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odas.net/hoteles/jardin-de-ventas--e7903" TargetMode="External"/><Relationship Id="rId2" Type="http://schemas.openxmlformats.org/officeDocument/2006/relationships/hyperlink" Target="https://www.bodas.net/fincas/real-fabrica-de-tapices-&amp;-el-puchero-de-plata--e76351" TargetMode="External"/><Relationship Id="rId3" Type="http://schemas.openxmlformats.org/officeDocument/2006/relationships/hyperlink" Target="https://www.bodas.net/salones-de-boda/la-quinta-by-madrid-catering--e252629" TargetMode="External"/><Relationship Id="rId4" Type="http://schemas.openxmlformats.org/officeDocument/2006/relationships/hyperlink" Target="https://www.bodas.net/fincas/quinta-de-los-molinos-by-elba--e109054" TargetMode="External"/><Relationship Id="rId5" Type="http://schemas.openxmlformats.org/officeDocument/2006/relationships/hyperlink" Target="https://www.timeout.es/madrid/es/que-hacer/palacio-duques-de-pastrana" TargetMode="External"/><Relationship Id="rId6" Type="http://schemas.openxmlformats.org/officeDocument/2006/relationships/hyperlink" Target="https://www.bodas.net/fincas/cafe-de-oriente-museo-del-traje--e47950" TargetMode="External"/><Relationship Id="rId7" Type="http://schemas.openxmlformats.org/officeDocument/2006/relationships/hyperlink" Target="https://www.bodas.net/fincas/casa-de-burgos--e121847" TargetMode="External"/><Relationship Id="rId8" Type="http://schemas.openxmlformats.org/officeDocument/2006/relationships/hyperlink" Target="https://www.bodas.net/fincas/la-masia-de-jose-luis--e3442" TargetMode="External"/><Relationship Id="rId9" Type="http://schemas.openxmlformats.org/officeDocument/2006/relationships/hyperlink" Target="https://www.ccvm.es/sites/default/files/users/user7/BODAS%202026.pdf" TargetMode="External"/><Relationship Id="rId10" Type="http://schemas.openxmlformats.org/officeDocument/2006/relationships/hyperlink" Target="https://www.bodas.net/fincas/mirador-del-olivar--e16700" TargetMode="External"/><Relationship Id="rId11" Type="http://schemas.openxmlformats.org/officeDocument/2006/relationships/hyperlink" Target="https://www.bodas.net/fincas/club-de-tiro--e81609" TargetMode="External"/><Relationship Id="rId12" Type="http://schemas.openxmlformats.org/officeDocument/2006/relationships/hyperlink" Target="https://www.bodas.net/fincas/fuentearcos--e1946" TargetMode="External"/><Relationship Id="rId13" Type="http://schemas.openxmlformats.org/officeDocument/2006/relationships/hyperlink" Target="https://www.bodas.net/fincas/finca-solimpar--e2670" TargetMode="External"/><Relationship Id="rId14" Type="http://schemas.openxmlformats.org/officeDocument/2006/relationships/hyperlink" Target="https://www.bodas.net/restaurantes/el-jardin-de-somontes--e193863" TargetMode="External"/><Relationship Id="rId15" Type="http://schemas.openxmlformats.org/officeDocument/2006/relationships/hyperlink" Target="https://www.bodas.net/fincas/la-casa-de-monico--e2021" TargetMode="External"/><Relationship Id="rId16" Type="http://schemas.openxmlformats.org/officeDocument/2006/relationships/hyperlink" Target="https://www.salir.com/finca-la-gaivota-madrid-neg-141910.html" TargetMode="External"/><Relationship Id="rId17" Type="http://schemas.openxmlformats.org/officeDocument/2006/relationships/hyperlink" Target="https://www.bodas.net/fincas/finca-astilbe--e218138" TargetMode="External"/><Relationship Id="rId18" Type="http://schemas.openxmlformats.org/officeDocument/2006/relationships/hyperlink" Target="https://www.bodas.net/fincas/el-mirador-de-cuatrovientos--e3257" TargetMode="External"/><Relationship Id="rId19" Type="http://schemas.openxmlformats.org/officeDocument/2006/relationships/hyperlink" Target="https://www.bodas.net/fincas/u-zalacain-la-finca--e176648" TargetMode="External"/><Relationship Id="rId20" Type="http://schemas.openxmlformats.org/officeDocument/2006/relationships/hyperlink" Target="https://www.bodas.net/fincas/finca-la-munoza-la-cococha--e173003" TargetMode="External"/><Relationship Id="rId21" Type="http://schemas.openxmlformats.org/officeDocument/2006/relationships/hyperlink" Target="https://www.bodas.net/fincas/real-club-la-moraleja--e81710" TargetMode="External"/><Relationship Id="rId22" Type="http://schemas.openxmlformats.org/officeDocument/2006/relationships/hyperlink" Target="https://www.bodas.net/fincas/initium-artigot-catering--e258289" TargetMode="External"/><Relationship Id="rId23" Type="http://schemas.openxmlformats.org/officeDocument/2006/relationships/hyperlink" Target="https://www.bodas.net/fincas/torzares--e286605" TargetMode="External"/><Relationship Id="rId24" Type="http://schemas.openxmlformats.org/officeDocument/2006/relationships/hyperlink" Target="https://www.bodas.net/fincas/grupo-negralejo--e2063" TargetMode="External"/><Relationship Id="rId25" Type="http://schemas.openxmlformats.org/officeDocument/2006/relationships/hyperlink" Target="https://www.bodas.net/fincas/grupo-negralejo--e2063" TargetMode="External"/><Relationship Id="rId26" Type="http://schemas.openxmlformats.org/officeDocument/2006/relationships/hyperlink" Target="https://www.bodas.net/fincas/finca-la-alqueria--e2004" TargetMode="External"/><Relationship Id="rId27" Type="http://schemas.openxmlformats.org/officeDocument/2006/relationships/hyperlink" Target="https://www.naboo.app/explorer/houses/finca-las-jarillas" TargetMode="External"/><Relationship Id="rId28" Type="http://schemas.openxmlformats.org/officeDocument/2006/relationships/hyperlink" Target="https://www.bodas.net/fincas/el-antiguo-convento-de-boadilla-del-monte--e1942" TargetMode="External"/><Relationship Id="rId29" Type="http://schemas.openxmlformats.org/officeDocument/2006/relationships/hyperlink" Target="https://www.hola.com/novias/20221231223804/espacios-boda-muchos-invitados-espana/" TargetMode="External"/><Relationship Id="rId30" Type="http://schemas.openxmlformats.org/officeDocument/2006/relationships/hyperlink" Target="https://www.bodas.net/fincas/finca-villa-maria--e2079" TargetMode="External"/><Relationship Id="rId31" Type="http://schemas.openxmlformats.org/officeDocument/2006/relationships/hyperlink" Target="https://www.bodas.net/bodas/banquetes/restaurantes/madrid/boadilla-del-monte" TargetMode="External"/><Relationship Id="rId32" Type="http://schemas.openxmlformats.org/officeDocument/2006/relationships/hyperlink" Target="https://www.bodas.net/salones-de-boda/finca-la-constancia--e204294" TargetMode="External"/><Relationship Id="rId33" Type="http://schemas.openxmlformats.org/officeDocument/2006/relationships/hyperlink" Target="https://www.bodas.net/fincas/villa-laureana--e122599" TargetMode="External"/><Relationship Id="rId34" Type="http://schemas.openxmlformats.org/officeDocument/2006/relationships/hyperlink" Target="https://www.bodas.net/fincas/senorio-de-ajuria--e2026" TargetMode="External"/><Relationship Id="rId35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bodas.net/castillos/castillo-de-vinuelas-life-gourmet-catering--e184062" TargetMode="External"/><Relationship Id="rId2" Type="http://schemas.openxmlformats.org/officeDocument/2006/relationships/hyperlink" Target="https://www.bodas.net/bodas/banquetes/fincas/madrid/rivas-vaciamadrid" TargetMode="External"/><Relationship Id="rId3" Type="http://schemas.openxmlformats.org/officeDocument/2006/relationships/hyperlink" Target="https://www.bodas.net/fincas/el-cortijo-de-monico--e8570" TargetMode="External"/><Relationship Id="rId4" Type="http://schemas.openxmlformats.org/officeDocument/2006/relationships/hyperlink" Target="https://www.bodas.net/fincas/complejo-cervantes--e3033" TargetMode="External"/><Relationship Id="rId5" Type="http://schemas.openxmlformats.org/officeDocument/2006/relationships/hyperlink" Target="https://www.bodas.net/fincas/la-quinta-de-jarama--e2565" TargetMode="External"/><Relationship Id="rId6" Type="http://schemas.openxmlformats.org/officeDocument/2006/relationships/hyperlink" Target="https://www.bodas.net/fincas/gaztelubide-las-rozas--e2010" TargetMode="External"/><Relationship Id="rId7" Type="http://schemas.openxmlformats.org/officeDocument/2006/relationships/hyperlink" Target="https://www.bodas.net/fincas/hacienda-chapoo--e173041" TargetMode="External"/><Relationship Id="rId8" Type="http://schemas.openxmlformats.org/officeDocument/2006/relationships/hyperlink" Target="https://www.bodas.net/fincas/real-club-de-golf-del-race--e235872" TargetMode="External"/><Relationship Id="rId9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bodas.net/salones-de-boda/abc-espacio--e171015" TargetMode="External"/><Relationship Id="rId2" Type="http://schemas.openxmlformats.org/officeDocument/2006/relationships/hyperlink" Target="https://www.bodas.net/fincas/faunia--e3103" TargetMode="External"/><Relationship Id="rId3" Type="http://schemas.openxmlformats.org/officeDocument/2006/relationships/hyperlink" Target="https://www.bodas.net/bodas/banquetes/madrid/alcobendas" TargetMode="External"/><Relationship Id="rId4" Type="http://schemas.openxmlformats.org/officeDocument/2006/relationships/hyperlink" Target="https://www.bodas.net/fincas/la-industrial-de-la-blonda--e266763" TargetMode="External"/><Relationship Id="rId5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65A"/>
    <pageSetUpPr fitToPage="true"/>
  </sheetPr>
  <dimension ref="A1:T1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6" min="2" style="0" width="12.5"/>
    <col collapsed="false" customWidth="true" hidden="false" outlineLevel="0" max="17" min="17" style="0" width="2"/>
  </cols>
  <sheetData>
    <row r="1" customFormat="false" ht="21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customFormat="false" ht="21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customFormat="false" ht="15.75" hidden="false" customHeight="true" outlineLevel="0" collapsed="false">
      <c r="A3" s="1"/>
      <c r="B3" s="3" t="str">
        <f aca="false">"Radio "&amp;Notas!B6&amp;" km · "&amp;COUNTA('Fincas 20 km'!B2:B39)&amp;" espacios comparados · datos consultados en octubre de 2026"</f>
        <v>Radio 20 km · 38 espacios comparados · datos consultados en octubre de 2026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</row>
    <row r="4" customFormat="false" ht="15.75" hidden="false" customHeight="true" outlineLevel="0" collapsed="false"/>
    <row r="5" customFormat="false" ht="15.75" hidden="false" customHeight="true" outlineLevel="0" collapsed="false">
      <c r="B5" s="4" t="s">
        <v>1</v>
      </c>
      <c r="C5" s="4"/>
      <c r="D5" s="4"/>
      <c r="E5" s="4" t="s">
        <v>2</v>
      </c>
      <c r="F5" s="4"/>
      <c r="G5" s="4"/>
      <c r="H5" s="4" t="s">
        <v>3</v>
      </c>
      <c r="I5" s="4"/>
      <c r="J5" s="4"/>
      <c r="K5" s="4" t="s">
        <v>4</v>
      </c>
      <c r="L5" s="4"/>
      <c r="M5" s="4"/>
      <c r="N5" s="4" t="s">
        <v>5</v>
      </c>
      <c r="O5" s="4"/>
      <c r="P5" s="4"/>
    </row>
    <row r="6" customFormat="false" ht="19.5" hidden="false" customHeight="true" outlineLevel="0" collapsed="false">
      <c r="B6" s="5" t="n">
        <f aca="false">COUNTA('Fincas 20 km'!B2:B39)</f>
        <v>38</v>
      </c>
      <c r="C6" s="5"/>
      <c r="D6" s="5"/>
      <c r="E6" s="6" t="str">
        <f aca="false">INDEX('Fincas 20 km'!B2:B39,MATCH(MIN('Fincas 20 km'!F2:F39),'Fincas 20 km'!F2:F39,0))</f>
        <v>El Jardín de Ventas</v>
      </c>
      <c r="F6" s="6"/>
      <c r="G6" s="6"/>
      <c r="H6" s="7" t="n">
        <f aca="false">ROUND(AVERAGE('Fincas 20 km'!I2:I39),0)</f>
        <v>123</v>
      </c>
      <c r="I6" s="7"/>
      <c r="J6" s="7"/>
      <c r="K6" s="5" t="n">
        <f aca="false">COUNTIF('Fincas 20 km'!O2:O39,"Posib*")+COUNTIF('Fincas 20 km'!O2:O39,"Proba*")+COUNTIF('Fincas 20 km'!O2:O39,"Lista*")</f>
        <v>3</v>
      </c>
      <c r="L6" s="5"/>
      <c r="M6" s="5"/>
      <c r="N6" s="8" t="n">
        <f aca="false">ROUND(AVERAGE('Fincas 20 km'!AG2:AG39),0)</f>
        <v>21</v>
      </c>
      <c r="O6" s="8"/>
      <c r="P6" s="8"/>
    </row>
    <row r="7" customFormat="false" ht="19.5" hidden="false" customHeight="true" outlineLevel="0" collapsed="false">
      <c r="B7" s="5"/>
      <c r="C7" s="5"/>
      <c r="D7" s="5"/>
      <c r="E7" s="6"/>
      <c r="F7" s="6"/>
      <c r="G7" s="6"/>
      <c r="H7" s="7"/>
      <c r="I7" s="7"/>
      <c r="J7" s="7"/>
      <c r="K7" s="5"/>
      <c r="L7" s="5"/>
      <c r="M7" s="5"/>
      <c r="N7" s="8"/>
      <c r="O7" s="8"/>
      <c r="P7" s="8"/>
    </row>
    <row r="8" customFormat="false" ht="15.75" hidden="false" customHeight="true" outlineLevel="0" collapsed="false">
      <c r="B8" s="9" t="s">
        <v>6</v>
      </c>
      <c r="C8" s="9"/>
      <c r="D8" s="9"/>
      <c r="E8" s="9" t="str">
        <f aca="false">MIN('Fincas 20 km'!F2:F39)&amp;" km en línea recta"</f>
        <v>1.3 km en línea recta</v>
      </c>
      <c r="F8" s="9"/>
      <c r="G8" s="9"/>
      <c r="H8" s="9" t="str">
        <f aca="false">"entre "&amp;MIN('Fincas 20 km'!I2:I39)&amp;" y "&amp;MAX('Fincas 20 km'!I2:I39)&amp;" € por invitado"</f>
        <v>entre 50 y 185 € por invitado</v>
      </c>
      <c r="I8" s="9"/>
      <c r="J8" s="9"/>
      <c r="K8" s="9" t="str">
        <f aca="false">"de "&amp;COUNTA('Fincas 20 km'!B2:B39)&amp;" · el resto es propio o por consultar"</f>
        <v>de 38 · el resto es propio o por consultar</v>
      </c>
      <c r="L8" s="9"/>
      <c r="M8" s="9"/>
      <c r="N8" s="9" t="str">
        <f aca="false">"estimado, sin tráfico extra"</f>
        <v>estimado, sin tráfico extra</v>
      </c>
      <c r="O8" s="9"/>
      <c r="P8" s="9"/>
    </row>
    <row r="9" customFormat="false" ht="15.75" hidden="false" customHeight="true" outlineLevel="0" collapsed="false"/>
    <row r="10" customFormat="false" ht="19.5" hidden="false" customHeight="true" outlineLevel="0" collapsed="false"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9.5" hidden="false" customHeight="true" outlineLevel="0" collapsed="false">
      <c r="B47" s="10" t="s">
        <v>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>
      <c r="J60" s="11" t="s">
        <v>9</v>
      </c>
      <c r="K60" s="11"/>
      <c r="L60" s="11"/>
      <c r="M60" s="11"/>
      <c r="N60" s="11"/>
      <c r="O60" s="11"/>
      <c r="P60" s="11"/>
    </row>
    <row r="61" customFormat="false" ht="15.75" hidden="false" customHeight="true" outlineLevel="0" collapsed="false">
      <c r="J61" s="11"/>
      <c r="K61" s="11"/>
      <c r="L61" s="11"/>
      <c r="M61" s="11"/>
      <c r="N61" s="11"/>
      <c r="O61" s="11"/>
      <c r="P61" s="11"/>
    </row>
    <row r="62" customFormat="false" ht="15.75" hidden="false" customHeight="true" outlineLevel="0" collapsed="false">
      <c r="J62" s="11"/>
      <c r="K62" s="11"/>
      <c r="L62" s="11"/>
      <c r="M62" s="11"/>
      <c r="N62" s="11"/>
      <c r="O62" s="11"/>
      <c r="P62" s="11"/>
    </row>
    <row r="63" customFormat="false" ht="15.75" hidden="false" customHeight="true" outlineLevel="0" collapsed="false">
      <c r="J63" s="11"/>
      <c r="K63" s="11"/>
      <c r="L63" s="11"/>
      <c r="M63" s="11"/>
      <c r="N63" s="11"/>
      <c r="O63" s="11"/>
      <c r="P63" s="11"/>
    </row>
    <row r="64" customFormat="false" ht="15.75" hidden="false" customHeight="true" outlineLevel="0" collapsed="false">
      <c r="J64" s="11"/>
      <c r="K64" s="11"/>
      <c r="L64" s="11"/>
      <c r="M64" s="11"/>
      <c r="N64" s="11"/>
      <c r="O64" s="11"/>
      <c r="P64" s="11"/>
    </row>
    <row r="65" customFormat="false" ht="15.75" hidden="false" customHeight="true" outlineLevel="0" collapsed="false"/>
    <row r="66" customFormat="false" ht="15.75" hidden="false" customHeight="true" outlineLevel="0" collapsed="false">
      <c r="J66" s="11" t="s">
        <v>10</v>
      </c>
      <c r="K66" s="11"/>
      <c r="L66" s="11"/>
      <c r="M66" s="11"/>
      <c r="N66" s="11"/>
      <c r="O66" s="11"/>
      <c r="P66" s="11"/>
    </row>
    <row r="67" customFormat="false" ht="15.75" hidden="false" customHeight="true" outlineLevel="0" collapsed="false">
      <c r="J67" s="11"/>
      <c r="K67" s="11"/>
      <c r="L67" s="11"/>
      <c r="M67" s="11"/>
      <c r="N67" s="11"/>
      <c r="O67" s="11"/>
      <c r="P67" s="11"/>
    </row>
    <row r="68" customFormat="false" ht="15.75" hidden="false" customHeight="true" outlineLevel="0" collapsed="false">
      <c r="J68" s="11"/>
      <c r="K68" s="11"/>
      <c r="L68" s="11"/>
      <c r="M68" s="11"/>
      <c r="N68" s="11"/>
      <c r="O68" s="11"/>
      <c r="P68" s="11"/>
    </row>
    <row r="69" customFormat="false" ht="15.75" hidden="false" customHeight="true" outlineLevel="0" collapsed="false">
      <c r="J69" s="11"/>
      <c r="K69" s="11"/>
      <c r="L69" s="11"/>
      <c r="M69" s="11"/>
      <c r="N69" s="11"/>
      <c r="O69" s="11"/>
      <c r="P69" s="11"/>
    </row>
    <row r="70" customFormat="false" ht="15.75" hidden="false" customHeight="true" outlineLevel="0" collapsed="false">
      <c r="J70" s="11"/>
      <c r="K70" s="11"/>
      <c r="L70" s="11"/>
      <c r="M70" s="11"/>
      <c r="N70" s="11"/>
      <c r="O70" s="11"/>
      <c r="P70" s="11"/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9.5" hidden="false" customHeight="true" outlineLevel="0" collapsed="false"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customFormat="false" ht="15.75" hidden="false" customHeight="true" outlineLevel="0" collapsed="false">
      <c r="B89" s="12" t="s">
        <v>12</v>
      </c>
      <c r="C89" s="12"/>
      <c r="D89" s="12"/>
      <c r="E89" s="13" t="s">
        <v>13</v>
      </c>
      <c r="F89" s="13" t="s">
        <v>14</v>
      </c>
      <c r="G89" s="13" t="s">
        <v>15</v>
      </c>
      <c r="H89" s="13" t="s">
        <v>16</v>
      </c>
      <c r="I89" s="12" t="s">
        <v>17</v>
      </c>
      <c r="J89" s="12"/>
      <c r="K89" s="12"/>
      <c r="L89" s="13" t="s">
        <v>18</v>
      </c>
      <c r="M89" s="12" t="s">
        <v>19</v>
      </c>
      <c r="N89" s="12"/>
      <c r="O89" s="12" t="s">
        <v>20</v>
      </c>
      <c r="P89" s="12"/>
      <c r="S89" s="14" t="s">
        <v>21</v>
      </c>
      <c r="T89" s="14" t="s">
        <v>22</v>
      </c>
    </row>
    <row r="90" customFormat="false" ht="15.75" hidden="false" customHeight="true" outlineLevel="0" collapsed="false">
      <c r="B90" s="15" t="str">
        <f aca="false">'Fincas 20 km'!B2</f>
        <v>El Jardín de Ventas</v>
      </c>
      <c r="C90" s="15"/>
      <c r="D90" s="15"/>
      <c r="E90" s="16" t="n">
        <f aca="false">'Fincas 20 km'!F2</f>
        <v>1.3</v>
      </c>
      <c r="F90" s="17" t="n">
        <f aca="false">'Fincas 20 km'!AG2</f>
        <v>3</v>
      </c>
      <c r="G90" s="18" t="n">
        <f aca="false">IF(ISNUMBER('Fincas 20 km'!I2),'Fincas 20 km'!I2,0)</f>
        <v>76</v>
      </c>
      <c r="H90" s="19" t="n">
        <f aca="false">IF(ISNUMBER('Fincas 20 km'!L2),'Fincas 20 km'!L2,0)</f>
        <v>0</v>
      </c>
      <c r="I90" s="20" t="str">
        <f aca="false">IF(LEFT('Fincas 20 km'!O2,2)="No","Propio / exclusivo",IF(OR(LEFT('Fincas 20 km'!O2,5)="Posib",LEFT('Fincas 20 km'!O2,5)="Proba",LEFT('Fincas 20 km'!O2,5)="Lista",LEFT('Fincas 20 km'!O2,2)="Sí"),"Libre o lista","Por consultar"))</f>
        <v>Propio / exclusivo</v>
      </c>
      <c r="J90" s="20"/>
      <c r="K90" s="20"/>
      <c r="L90" s="16" t="n">
        <f aca="false">IF(ISNUMBER('Fincas 20 km'!Y2),'Fincas 20 km'!Y2,"—")</f>
        <v>4.7</v>
      </c>
      <c r="M90" s="21" t="str">
        <f aca="false">'Fincas 20 km'!AJ2</f>
        <v>Buscar en Instagram</v>
      </c>
      <c r="N90" s="21"/>
      <c r="O90" s="21" t="str">
        <f aca="false">'Fincas 20 km'!AH2</f>
        <v>Ver ruta y tiempo</v>
      </c>
      <c r="P90" s="21"/>
      <c r="S90" s="14" t="s">
        <v>23</v>
      </c>
      <c r="T90" s="14" t="n">
        <f aca="false">COUNTIF($I$90:$I$127,S90)</f>
        <v>31</v>
      </c>
    </row>
    <row r="91" customFormat="false" ht="15.75" hidden="false" customHeight="true" outlineLevel="0" collapsed="false">
      <c r="B91" s="22" t="str">
        <f aca="false">'Fincas 20 km'!B3</f>
        <v>Real Fábrica de Tapices &amp; El Puchero de Plata</v>
      </c>
      <c r="C91" s="22"/>
      <c r="D91" s="22"/>
      <c r="E91" s="23" t="n">
        <f aca="false">'Fincas 20 km'!F3</f>
        <v>2.4</v>
      </c>
      <c r="F91" s="24" t="n">
        <f aca="false">'Fincas 20 km'!AG3</f>
        <v>5</v>
      </c>
      <c r="G91" s="25" t="n">
        <f aca="false">IF(ISNUMBER('Fincas 20 km'!I3),'Fincas 20 km'!I3,0)</f>
        <v>138</v>
      </c>
      <c r="H91" s="26" t="n">
        <f aca="false">IF(ISNUMBER('Fincas 20 km'!L3),'Fincas 20 km'!L3,0)</f>
        <v>450</v>
      </c>
      <c r="I91" s="27" t="str">
        <f aca="false">IF(LEFT('Fincas 20 km'!O3,2)="No","Propio / exclusivo",IF(OR(LEFT('Fincas 20 km'!O3,5)="Posib",LEFT('Fincas 20 km'!O3,5)="Proba",LEFT('Fincas 20 km'!O3,5)="Lista",LEFT('Fincas 20 km'!O3,2)="Sí"),"Libre o lista","Por consultar"))</f>
        <v>Propio / exclusivo</v>
      </c>
      <c r="J91" s="27"/>
      <c r="K91" s="27"/>
      <c r="L91" s="23" t="str">
        <f aca="false">IF(ISNUMBER('Fincas 20 km'!Y3),'Fincas 20 km'!Y3,"—")</f>
        <v>—</v>
      </c>
      <c r="M91" s="28" t="str">
        <f aca="false">'Fincas 20 km'!AJ3</f>
        <v>Buscar en Instagram</v>
      </c>
      <c r="N91" s="28"/>
      <c r="O91" s="28" t="str">
        <f aca="false">'Fincas 20 km'!AH3</f>
        <v>Ver ruta y tiempo</v>
      </c>
      <c r="P91" s="28"/>
      <c r="S91" s="14" t="s">
        <v>24</v>
      </c>
      <c r="T91" s="14" t="n">
        <f aca="false">COUNTIF($I$90:$I$127,S91)</f>
        <v>3</v>
      </c>
    </row>
    <row r="92" customFormat="false" ht="15.75" hidden="false" customHeight="true" outlineLevel="0" collapsed="false">
      <c r="B92" s="15" t="str">
        <f aca="false">'Fincas 20 km'!B4</f>
        <v>La Quinta by Madrid Catering</v>
      </c>
      <c r="C92" s="15"/>
      <c r="D92" s="15"/>
      <c r="E92" s="16" t="n">
        <f aca="false">'Fincas 20 km'!F4</f>
        <v>3.9</v>
      </c>
      <c r="F92" s="17" t="n">
        <f aca="false">'Fincas 20 km'!AG4</f>
        <v>8</v>
      </c>
      <c r="G92" s="18" t="n">
        <f aca="false">IF(ISNUMBER('Fincas 20 km'!I4),'Fincas 20 km'!I4,0)</f>
        <v>0</v>
      </c>
      <c r="H92" s="19" t="n">
        <f aca="false">IF(ISNUMBER('Fincas 20 km'!L4),'Fincas 20 km'!L4,0)</f>
        <v>165</v>
      </c>
      <c r="I92" s="20" t="str">
        <f aca="false">IF(LEFT('Fincas 20 km'!O4,2)="No","Propio / exclusivo",IF(OR(LEFT('Fincas 20 km'!O4,5)="Posib",LEFT('Fincas 20 km'!O4,5)="Proba",LEFT('Fincas 20 km'!O4,5)="Lista",LEFT('Fincas 20 km'!O4,2)="Sí"),"Libre o lista","Por consultar"))</f>
        <v>Propio / exclusivo</v>
      </c>
      <c r="J92" s="20"/>
      <c r="K92" s="20"/>
      <c r="L92" s="16" t="n">
        <f aca="false">IF(ISNUMBER('Fincas 20 km'!Y4),'Fincas 20 km'!Y4,"—")</f>
        <v>4.5</v>
      </c>
      <c r="M92" s="21" t="str">
        <f aca="false">'Fincas 20 km'!AJ4</f>
        <v>Buscar en Instagram</v>
      </c>
      <c r="N92" s="21"/>
      <c r="O92" s="21" t="str">
        <f aca="false">'Fincas 20 km'!AH4</f>
        <v>Ver ruta y tiempo</v>
      </c>
      <c r="P92" s="21"/>
      <c r="S92" s="14" t="s">
        <v>25</v>
      </c>
      <c r="T92" s="14" t="n">
        <f aca="false">COUNTIF($I$90:$I$127,S92)</f>
        <v>4</v>
      </c>
    </row>
    <row r="93" customFormat="false" ht="15.75" hidden="false" customHeight="true" outlineLevel="0" collapsed="false">
      <c r="B93" s="22" t="str">
        <f aca="false">'Fincas 20 km'!B5</f>
        <v>Quinta de los Molinos by Elba</v>
      </c>
      <c r="C93" s="22"/>
      <c r="D93" s="22"/>
      <c r="E93" s="23" t="n">
        <f aca="false">'Fincas 20 km'!F5</f>
        <v>4</v>
      </c>
      <c r="F93" s="24" t="n">
        <f aca="false">'Fincas 20 km'!AG5</f>
        <v>8</v>
      </c>
      <c r="G93" s="25" t="n">
        <f aca="false">IF(ISNUMBER('Fincas 20 km'!I5),'Fincas 20 km'!I5,0)</f>
        <v>138</v>
      </c>
      <c r="H93" s="26" t="n">
        <f aca="false">IF(ISNUMBER('Fincas 20 km'!L5),'Fincas 20 km'!L5,0)</f>
        <v>0</v>
      </c>
      <c r="I93" s="27" t="str">
        <f aca="false">IF(LEFT('Fincas 20 km'!O5,2)="No","Propio / exclusivo",IF(OR(LEFT('Fincas 20 km'!O5,5)="Posib",LEFT('Fincas 20 km'!O5,5)="Proba",LEFT('Fincas 20 km'!O5,5)="Lista",LEFT('Fincas 20 km'!O5,2)="Sí"),"Libre o lista","Por consultar"))</f>
        <v>Propio / exclusivo</v>
      </c>
      <c r="J93" s="27"/>
      <c r="K93" s="27"/>
      <c r="L93" s="23" t="n">
        <f aca="false">IF(ISNUMBER('Fincas 20 km'!Y5),'Fincas 20 km'!Y5,"—")</f>
        <v>4.4</v>
      </c>
      <c r="M93" s="28" t="str">
        <f aca="false">'Fincas 20 km'!AJ5</f>
        <v>Buscar en Instagram</v>
      </c>
      <c r="N93" s="28"/>
      <c r="O93" s="28" t="str">
        <f aca="false">'Fincas 20 km'!AH5</f>
        <v>Ver ruta y tiempo</v>
      </c>
      <c r="P93" s="28"/>
    </row>
    <row r="94" customFormat="false" ht="15.75" hidden="false" customHeight="true" outlineLevel="0" collapsed="false">
      <c r="B94" s="15" t="str">
        <f aca="false">'Fincas 20 km'!B6</f>
        <v>Palacete / Complejo Duques de Pastrana</v>
      </c>
      <c r="C94" s="15"/>
      <c r="D94" s="15"/>
      <c r="E94" s="16" t="n">
        <f aca="false">'Fincas 20 km'!F6</f>
        <v>4.4</v>
      </c>
      <c r="F94" s="17" t="n">
        <f aca="false">'Fincas 20 km'!AG6</f>
        <v>9</v>
      </c>
      <c r="G94" s="18" t="n">
        <f aca="false">IF(ISNUMBER('Fincas 20 km'!I6),'Fincas 20 km'!I6,0)</f>
        <v>0</v>
      </c>
      <c r="H94" s="19" t="n">
        <f aca="false">IF(ISNUMBER('Fincas 20 km'!L6),'Fincas 20 km'!L6,0)</f>
        <v>740</v>
      </c>
      <c r="I94" s="20" t="str">
        <f aca="false">IF(LEFT('Fincas 20 km'!O6,2)="No","Propio / exclusivo",IF(OR(LEFT('Fincas 20 km'!O6,5)="Posib",LEFT('Fincas 20 km'!O6,5)="Proba",LEFT('Fincas 20 km'!O6,5)="Lista",LEFT('Fincas 20 km'!O6,2)="Sí"),"Libre o lista","Por consultar"))</f>
        <v>Propio / exclusivo</v>
      </c>
      <c r="J94" s="20"/>
      <c r="K94" s="20"/>
      <c r="L94" s="16" t="n">
        <f aca="false">IF(ISNUMBER('Fincas 20 km'!Y6),'Fincas 20 km'!Y6,"—")</f>
        <v>4.4</v>
      </c>
      <c r="M94" s="21" t="str">
        <f aca="false">'Fincas 20 km'!AJ6</f>
        <v>Buscar en Instagram</v>
      </c>
      <c r="N94" s="21"/>
      <c r="O94" s="21" t="str">
        <f aca="false">'Fincas 20 km'!AH6</f>
        <v>Ver ruta y tiempo</v>
      </c>
      <c r="P94" s="21"/>
    </row>
    <row r="95" customFormat="false" ht="15.75" hidden="false" customHeight="true" outlineLevel="0" collapsed="false">
      <c r="B95" s="22" t="str">
        <f aca="false">'Fincas 20 km'!B7</f>
        <v>Café de Oriente Museo del Traje</v>
      </c>
      <c r="C95" s="22"/>
      <c r="D95" s="22"/>
      <c r="E95" s="23" t="n">
        <f aca="false">'Fincas 20 km'!F7</f>
        <v>4.7</v>
      </c>
      <c r="F95" s="24" t="n">
        <f aca="false">'Fincas 20 km'!AG7</f>
        <v>9</v>
      </c>
      <c r="G95" s="25" t="n">
        <f aca="false">IF(ISNUMBER('Fincas 20 km'!I7),'Fincas 20 km'!I7,0)</f>
        <v>140</v>
      </c>
      <c r="H95" s="26" t="n">
        <f aca="false">IF(ISNUMBER('Fincas 20 km'!L7),'Fincas 20 km'!L7,0)</f>
        <v>700</v>
      </c>
      <c r="I95" s="27" t="str">
        <f aca="false">IF(LEFT('Fincas 20 km'!O7,2)="No","Propio / exclusivo",IF(OR(LEFT('Fincas 20 km'!O7,5)="Posib",LEFT('Fincas 20 km'!O7,5)="Proba",LEFT('Fincas 20 km'!O7,5)="Lista",LEFT('Fincas 20 km'!O7,2)="Sí"),"Libre o lista","Por consultar"))</f>
        <v>Propio / exclusivo</v>
      </c>
      <c r="J95" s="27"/>
      <c r="K95" s="27"/>
      <c r="L95" s="23" t="n">
        <f aca="false">IF(ISNUMBER('Fincas 20 km'!Y7),'Fincas 20 km'!Y7,"—")</f>
        <v>4.2</v>
      </c>
      <c r="M95" s="28" t="str">
        <f aca="false">'Fincas 20 km'!AJ7</f>
        <v>Buscar en Instagram</v>
      </c>
      <c r="N95" s="28"/>
      <c r="O95" s="28" t="str">
        <f aca="false">'Fincas 20 km'!AH7</f>
        <v>Ver ruta y tiempo</v>
      </c>
      <c r="P95" s="28"/>
    </row>
    <row r="96" customFormat="false" ht="15.75" hidden="false" customHeight="true" outlineLevel="0" collapsed="false">
      <c r="B96" s="15" t="str">
        <f aca="false">'Fincas 20 km'!B8</f>
        <v>Casa de Burgos</v>
      </c>
      <c r="C96" s="15"/>
      <c r="D96" s="15"/>
      <c r="E96" s="16" t="n">
        <f aca="false">'Fincas 20 km'!F8</f>
        <v>4.9</v>
      </c>
      <c r="F96" s="17" t="n">
        <f aca="false">'Fincas 20 km'!AG8</f>
        <v>10</v>
      </c>
      <c r="G96" s="18" t="n">
        <f aca="false">IF(ISNUMBER('Fincas 20 km'!I8),'Fincas 20 km'!I8,0)</f>
        <v>100</v>
      </c>
      <c r="H96" s="19" t="n">
        <f aca="false">IF(ISNUMBER('Fincas 20 km'!L8),'Fincas 20 km'!L8,0)</f>
        <v>350</v>
      </c>
      <c r="I96" s="20" t="str">
        <f aca="false">IF(LEFT('Fincas 20 km'!O8,2)="No","Propio / exclusivo",IF(OR(LEFT('Fincas 20 km'!O8,5)="Posib",LEFT('Fincas 20 km'!O8,5)="Proba",LEFT('Fincas 20 km'!O8,5)="Lista",LEFT('Fincas 20 km'!O8,2)="Sí"),"Libre o lista","Por consultar"))</f>
        <v>Propio / exclusivo</v>
      </c>
      <c r="J96" s="20"/>
      <c r="K96" s="20"/>
      <c r="L96" s="16" t="n">
        <f aca="false">IF(ISNUMBER('Fincas 20 km'!Y8),'Fincas 20 km'!Y8,"—")</f>
        <v>4.5</v>
      </c>
      <c r="M96" s="21" t="str">
        <f aca="false">'Fincas 20 km'!AJ8</f>
        <v>Buscar en Instagram</v>
      </c>
      <c r="N96" s="21"/>
      <c r="O96" s="21" t="str">
        <f aca="false">'Fincas 20 km'!AH8</f>
        <v>Ver ruta y tiempo</v>
      </c>
      <c r="P96" s="21"/>
    </row>
    <row r="97" customFormat="false" ht="15.75" hidden="false" customHeight="true" outlineLevel="0" collapsed="false">
      <c r="B97" s="22" t="str">
        <f aca="false">'Fincas 20 km'!B9</f>
        <v>La Masía de José Luis</v>
      </c>
      <c r="C97" s="22"/>
      <c r="D97" s="22"/>
      <c r="E97" s="23" t="n">
        <f aca="false">'Fincas 20 km'!F9</f>
        <v>4.9</v>
      </c>
      <c r="F97" s="24" t="n">
        <f aca="false">'Fincas 20 km'!AG9</f>
        <v>10</v>
      </c>
      <c r="G97" s="25" t="n">
        <f aca="false">IF(ISNUMBER('Fincas 20 km'!I9),'Fincas 20 km'!I9,0)</f>
        <v>140</v>
      </c>
      <c r="H97" s="26" t="n">
        <f aca="false">IF(ISNUMBER('Fincas 20 km'!L9),'Fincas 20 km'!L9,0)</f>
        <v>440</v>
      </c>
      <c r="I97" s="27" t="str">
        <f aca="false">IF(LEFT('Fincas 20 km'!O9,2)="No","Propio / exclusivo",IF(OR(LEFT('Fincas 20 km'!O9,5)="Posib",LEFT('Fincas 20 km'!O9,5)="Proba",LEFT('Fincas 20 km'!O9,5)="Lista",LEFT('Fincas 20 km'!O9,2)="Sí"),"Libre o lista","Por consultar"))</f>
        <v>Propio / exclusivo</v>
      </c>
      <c r="J97" s="27"/>
      <c r="K97" s="27"/>
      <c r="L97" s="23" t="n">
        <f aca="false">IF(ISNUMBER('Fincas 20 km'!Y9),'Fincas 20 km'!Y9,"—")</f>
        <v>4.5</v>
      </c>
      <c r="M97" s="28" t="str">
        <f aca="false">'Fincas 20 km'!AJ9</f>
        <v>Buscar en Instagram</v>
      </c>
      <c r="N97" s="28"/>
      <c r="O97" s="28" t="str">
        <f aca="false">'Fincas 20 km'!AH9</f>
        <v>Ver ruta y tiempo</v>
      </c>
      <c r="P97" s="28"/>
    </row>
    <row r="98" customFormat="false" ht="15.75" hidden="false" customHeight="true" outlineLevel="0" collapsed="false">
      <c r="B98" s="15" t="str">
        <f aca="false">'Fincas 20 km'!B10</f>
        <v>Club de Campo Villa de Madrid</v>
      </c>
      <c r="C98" s="15"/>
      <c r="D98" s="15"/>
      <c r="E98" s="16" t="n">
        <f aca="false">'Fincas 20 km'!F10</f>
        <v>5.8</v>
      </c>
      <c r="F98" s="17" t="n">
        <f aca="false">'Fincas 20 km'!AG10</f>
        <v>11</v>
      </c>
      <c r="G98" s="18" t="n">
        <f aca="false">IF(ISNUMBER('Fincas 20 km'!I10),'Fincas 20 km'!I10,0)</f>
        <v>0</v>
      </c>
      <c r="H98" s="19" t="n">
        <f aca="false">IF(ISNUMBER('Fincas 20 km'!L10),'Fincas 20 km'!L10,0)</f>
        <v>0</v>
      </c>
      <c r="I98" s="20" t="str">
        <f aca="false">IF(LEFT('Fincas 20 km'!O10,2)="No","Propio / exclusivo",IF(OR(LEFT('Fincas 20 km'!O10,5)="Posib",LEFT('Fincas 20 km'!O10,5)="Proba",LEFT('Fincas 20 km'!O10,5)="Lista",LEFT('Fincas 20 km'!O10,2)="Sí"),"Libre o lista","Por consultar"))</f>
        <v>Propio / exclusivo</v>
      </c>
      <c r="J98" s="20"/>
      <c r="K98" s="20"/>
      <c r="L98" s="16" t="n">
        <f aca="false">IF(ISNUMBER('Fincas 20 km'!Y10),'Fincas 20 km'!Y10,"—")</f>
        <v>4.3</v>
      </c>
      <c r="M98" s="21" t="str">
        <f aca="false">'Fincas 20 km'!AJ10</f>
        <v>Buscar en Instagram</v>
      </c>
      <c r="N98" s="21"/>
      <c r="O98" s="21" t="str">
        <f aca="false">'Fincas 20 km'!AH10</f>
        <v>Ver ruta y tiempo</v>
      </c>
      <c r="P98" s="21"/>
    </row>
    <row r="99" customFormat="false" ht="15.75" hidden="false" customHeight="true" outlineLevel="0" collapsed="false">
      <c r="B99" s="22" t="str">
        <f aca="false">'Fincas 20 km'!B11</f>
        <v>Mirador del Olivar</v>
      </c>
      <c r="C99" s="22"/>
      <c r="D99" s="22"/>
      <c r="E99" s="23" t="n">
        <f aca="false">'Fincas 20 km'!F11</f>
        <v>7.2</v>
      </c>
      <c r="F99" s="24" t="n">
        <f aca="false">'Fincas 20 km'!AG11</f>
        <v>14</v>
      </c>
      <c r="G99" s="25" t="n">
        <f aca="false">IF(ISNUMBER('Fincas 20 km'!I11),'Fincas 20 km'!I11,0)</f>
        <v>99</v>
      </c>
      <c r="H99" s="26" t="n">
        <f aca="false">IF(ISNUMBER('Fincas 20 km'!L11),'Fincas 20 km'!L11,0)</f>
        <v>520</v>
      </c>
      <c r="I99" s="27" t="str">
        <f aca="false">IF(LEFT('Fincas 20 km'!O11,2)="No","Propio / exclusivo",IF(OR(LEFT('Fincas 20 km'!O11,5)="Posib",LEFT('Fincas 20 km'!O11,5)="Proba",LEFT('Fincas 20 km'!O11,5)="Lista",LEFT('Fincas 20 km'!O11,2)="Sí"),"Libre o lista","Por consultar"))</f>
        <v>Propio / exclusivo</v>
      </c>
      <c r="J99" s="27"/>
      <c r="K99" s="27"/>
      <c r="L99" s="23" t="n">
        <f aca="false">IF(ISNUMBER('Fincas 20 km'!Y11),'Fincas 20 km'!Y11,"—")</f>
        <v>4.1</v>
      </c>
      <c r="M99" s="28" t="str">
        <f aca="false">'Fincas 20 km'!AJ11</f>
        <v>Buscar en Instagram</v>
      </c>
      <c r="N99" s="28"/>
      <c r="O99" s="28" t="str">
        <f aca="false">'Fincas 20 km'!AH11</f>
        <v>Ver ruta y tiempo</v>
      </c>
      <c r="P99" s="28"/>
    </row>
    <row r="100" customFormat="false" ht="15.75" hidden="false" customHeight="true" outlineLevel="0" collapsed="false">
      <c r="B100" s="15" t="str">
        <f aca="false">'Fincas 20 km'!B12</f>
        <v>Club de Tiro de Madrid</v>
      </c>
      <c r="C100" s="15"/>
      <c r="D100" s="15"/>
      <c r="E100" s="16" t="n">
        <f aca="false">'Fincas 20 km'!F12</f>
        <v>8.9</v>
      </c>
      <c r="F100" s="17" t="n">
        <f aca="false">'Fincas 20 km'!AG12</f>
        <v>17</v>
      </c>
      <c r="G100" s="18" t="n">
        <f aca="false">IF(ISNUMBER('Fincas 20 km'!I12),'Fincas 20 km'!I12,0)</f>
        <v>130</v>
      </c>
      <c r="H100" s="19" t="n">
        <f aca="false">IF(ISNUMBER('Fincas 20 km'!L12),'Fincas 20 km'!L12,0)</f>
        <v>600</v>
      </c>
      <c r="I100" s="20" t="str">
        <f aca="false">IF(LEFT('Fincas 20 km'!O12,2)="No","Propio / exclusivo",IF(OR(LEFT('Fincas 20 km'!O12,5)="Posib",LEFT('Fincas 20 km'!O12,5)="Proba",LEFT('Fincas 20 km'!O12,5)="Lista",LEFT('Fincas 20 km'!O12,2)="Sí"),"Libre o lista","Por consultar"))</f>
        <v>Propio / exclusivo</v>
      </c>
      <c r="J100" s="20"/>
      <c r="K100" s="20"/>
      <c r="L100" s="16" t="n">
        <f aca="false">IF(ISNUMBER('Fincas 20 km'!Y12),'Fincas 20 km'!Y12,"—")</f>
        <v>4.3</v>
      </c>
      <c r="M100" s="21" t="str">
        <f aca="false">'Fincas 20 km'!AJ12</f>
        <v>Buscar en Instagram</v>
      </c>
      <c r="N100" s="21"/>
      <c r="O100" s="21" t="str">
        <f aca="false">'Fincas 20 km'!AH12</f>
        <v>Ver ruta y tiempo</v>
      </c>
      <c r="P100" s="21"/>
    </row>
    <row r="101" customFormat="false" ht="15.75" hidden="false" customHeight="true" outlineLevel="0" collapsed="false">
      <c r="B101" s="22" t="str">
        <f aca="false">'Fincas 20 km'!B13</f>
        <v>Fuentearcos</v>
      </c>
      <c r="C101" s="22"/>
      <c r="D101" s="22"/>
      <c r="E101" s="23" t="n">
        <f aca="false">'Fincas 20 km'!F13</f>
        <v>9.5</v>
      </c>
      <c r="F101" s="24" t="n">
        <f aca="false">'Fincas 20 km'!AG13</f>
        <v>19</v>
      </c>
      <c r="G101" s="25" t="n">
        <f aca="false">IF(ISNUMBER('Fincas 20 km'!I13),'Fincas 20 km'!I13,0)</f>
        <v>120</v>
      </c>
      <c r="H101" s="26" t="n">
        <f aca="false">IF(ISNUMBER('Fincas 20 km'!L13),'Fincas 20 km'!L13,0)</f>
        <v>350</v>
      </c>
      <c r="I101" s="27" t="str">
        <f aca="false">IF(LEFT('Fincas 20 km'!O13,2)="No","Propio / exclusivo",IF(OR(LEFT('Fincas 20 km'!O13,5)="Posib",LEFT('Fincas 20 km'!O13,5)="Proba",LEFT('Fincas 20 km'!O13,5)="Lista",LEFT('Fincas 20 km'!O13,2)="Sí"),"Libre o lista","Por consultar"))</f>
        <v>Propio / exclusivo</v>
      </c>
      <c r="J101" s="27"/>
      <c r="K101" s="27"/>
      <c r="L101" s="23" t="n">
        <f aca="false">IF(ISNUMBER('Fincas 20 km'!Y13),'Fincas 20 km'!Y13,"—")</f>
        <v>4.4</v>
      </c>
      <c r="M101" s="28" t="str">
        <f aca="false">'Fincas 20 km'!AJ13</f>
        <v>Buscar en Instagram</v>
      </c>
      <c r="N101" s="28"/>
      <c r="O101" s="28" t="str">
        <f aca="false">'Fincas 20 km'!AH13</f>
        <v>Ver ruta y tiempo</v>
      </c>
      <c r="P101" s="28"/>
    </row>
    <row r="102" customFormat="false" ht="15.75" hidden="false" customHeight="true" outlineLevel="0" collapsed="false">
      <c r="B102" s="15" t="str">
        <f aca="false">'Fincas 20 km'!B14</f>
        <v>Finca Solimpar</v>
      </c>
      <c r="C102" s="15"/>
      <c r="D102" s="15"/>
      <c r="E102" s="16" t="n">
        <f aca="false">'Fincas 20 km'!F14</f>
        <v>9.7</v>
      </c>
      <c r="F102" s="17" t="n">
        <f aca="false">'Fincas 20 km'!AG14</f>
        <v>19</v>
      </c>
      <c r="G102" s="18" t="n">
        <f aca="false">IF(ISNUMBER('Fincas 20 km'!I14),'Fincas 20 km'!I14,0)</f>
        <v>90</v>
      </c>
      <c r="H102" s="19" t="n">
        <f aca="false">IF(ISNUMBER('Fincas 20 km'!L14),'Fincas 20 km'!L14,0)</f>
        <v>300</v>
      </c>
      <c r="I102" s="20" t="str">
        <f aca="false">IF(LEFT('Fincas 20 km'!O14,2)="No","Propio / exclusivo",IF(OR(LEFT('Fincas 20 km'!O14,5)="Posib",LEFT('Fincas 20 km'!O14,5)="Proba",LEFT('Fincas 20 km'!O14,5)="Lista",LEFT('Fincas 20 km'!O14,2)="Sí"),"Libre o lista","Por consultar"))</f>
        <v>Propio / exclusivo</v>
      </c>
      <c r="J102" s="20"/>
      <c r="K102" s="20"/>
      <c r="L102" s="16" t="n">
        <f aca="false">IF(ISNUMBER('Fincas 20 km'!Y14),'Fincas 20 km'!Y14,"—")</f>
        <v>4.4</v>
      </c>
      <c r="M102" s="21" t="str">
        <f aca="false">'Fincas 20 km'!AJ14</f>
        <v>Buscar en Instagram</v>
      </c>
      <c r="N102" s="21"/>
      <c r="O102" s="21" t="str">
        <f aca="false">'Fincas 20 km'!AH14</f>
        <v>Ver ruta y tiempo</v>
      </c>
      <c r="P102" s="21"/>
    </row>
    <row r="103" customFormat="false" ht="15.75" hidden="false" customHeight="true" outlineLevel="0" collapsed="false">
      <c r="B103" s="22" t="str">
        <f aca="false">'Fincas 20 km'!B15</f>
        <v>El Jardín de Somontes (Eventos Somontes)</v>
      </c>
      <c r="C103" s="22"/>
      <c r="D103" s="22"/>
      <c r="E103" s="23" t="n">
        <f aca="false">'Fincas 20 km'!F15</f>
        <v>9.7</v>
      </c>
      <c r="F103" s="24" t="n">
        <f aca="false">'Fincas 20 km'!AG15</f>
        <v>19</v>
      </c>
      <c r="G103" s="25" t="n">
        <f aca="false">IF(ISNUMBER('Fincas 20 km'!I15),'Fincas 20 km'!I15,0)</f>
        <v>0</v>
      </c>
      <c r="H103" s="26" t="n">
        <f aca="false">IF(ISNUMBER('Fincas 20 km'!L15),'Fincas 20 km'!L15,0)</f>
        <v>400</v>
      </c>
      <c r="I103" s="27" t="str">
        <f aca="false">IF(LEFT('Fincas 20 km'!O15,2)="No","Propio / exclusivo",IF(OR(LEFT('Fincas 20 km'!O15,5)="Posib",LEFT('Fincas 20 km'!O15,5)="Proba",LEFT('Fincas 20 km'!O15,5)="Lista",LEFT('Fincas 20 km'!O15,2)="Sí"),"Libre o lista","Por consultar"))</f>
        <v>Libre o lista</v>
      </c>
      <c r="J103" s="27"/>
      <c r="K103" s="27"/>
      <c r="L103" s="23" t="n">
        <f aca="false">IF(ISNUMBER('Fincas 20 km'!Y15),'Fincas 20 km'!Y15,"—")</f>
        <v>4.5</v>
      </c>
      <c r="M103" s="28" t="str">
        <f aca="false">'Fincas 20 km'!AJ15</f>
        <v>Buscar en Instagram</v>
      </c>
      <c r="N103" s="28"/>
      <c r="O103" s="28" t="str">
        <f aca="false">'Fincas 20 km'!AH15</f>
        <v>Ver ruta y tiempo</v>
      </c>
      <c r="P103" s="28"/>
    </row>
    <row r="104" customFormat="false" ht="15.75" hidden="false" customHeight="true" outlineLevel="0" collapsed="false">
      <c r="B104" s="15" t="str">
        <f aca="false">'Fincas 20 km'!B16</f>
        <v>La Casa de Mónico</v>
      </c>
      <c r="C104" s="15"/>
      <c r="D104" s="15"/>
      <c r="E104" s="16" t="n">
        <f aca="false">'Fincas 20 km'!F16</f>
        <v>9.8</v>
      </c>
      <c r="F104" s="17" t="n">
        <f aca="false">'Fincas 20 km'!AG16</f>
        <v>19</v>
      </c>
      <c r="G104" s="18" t="n">
        <f aca="false">IF(ISNUMBER('Fincas 20 km'!I16),'Fincas 20 km'!I16,0)</f>
        <v>185</v>
      </c>
      <c r="H104" s="19" t="n">
        <f aca="false">IF(ISNUMBER('Fincas 20 km'!L16),'Fincas 20 km'!L16,0)</f>
        <v>600</v>
      </c>
      <c r="I104" s="20" t="str">
        <f aca="false">IF(LEFT('Fincas 20 km'!O16,2)="No","Propio / exclusivo",IF(OR(LEFT('Fincas 20 km'!O16,5)="Posib",LEFT('Fincas 20 km'!O16,5)="Proba",LEFT('Fincas 20 km'!O16,5)="Lista",LEFT('Fincas 20 km'!O16,2)="Sí"),"Libre o lista","Por consultar"))</f>
        <v>Propio / exclusivo</v>
      </c>
      <c r="J104" s="20"/>
      <c r="K104" s="20"/>
      <c r="L104" s="16" t="n">
        <f aca="false">IF(ISNUMBER('Fincas 20 km'!Y16),'Fincas 20 km'!Y16,"—")</f>
        <v>4.5</v>
      </c>
      <c r="M104" s="21" t="str">
        <f aca="false">'Fincas 20 km'!AJ16</f>
        <v>Buscar en Instagram</v>
      </c>
      <c r="N104" s="21"/>
      <c r="O104" s="21" t="str">
        <f aca="false">'Fincas 20 km'!AH16</f>
        <v>Ver ruta y tiempo</v>
      </c>
      <c r="P104" s="21"/>
    </row>
    <row r="105" customFormat="false" ht="15.75" hidden="false" customHeight="true" outlineLevel="0" collapsed="false">
      <c r="B105" s="22" t="str">
        <f aca="false">'Fincas 20 km'!B17</f>
        <v>Finca La Gaivota</v>
      </c>
      <c r="C105" s="22"/>
      <c r="D105" s="22"/>
      <c r="E105" s="23" t="n">
        <f aca="false">'Fincas 20 km'!F17</f>
        <v>9.8</v>
      </c>
      <c r="F105" s="24" t="n">
        <f aca="false">'Fincas 20 km'!AG17</f>
        <v>19</v>
      </c>
      <c r="G105" s="25" t="n">
        <f aca="false">IF(ISNUMBER('Fincas 20 km'!I17),'Fincas 20 km'!I17,0)</f>
        <v>0</v>
      </c>
      <c r="H105" s="26" t="n">
        <f aca="false">IF(ISNUMBER('Fincas 20 km'!L17),'Fincas 20 km'!L17,0)</f>
        <v>500</v>
      </c>
      <c r="I105" s="27" t="str">
        <f aca="false">IF(LEFT('Fincas 20 km'!O17,2)="No","Propio / exclusivo",IF(OR(LEFT('Fincas 20 km'!O17,5)="Posib",LEFT('Fincas 20 km'!O17,5)="Proba",LEFT('Fincas 20 km'!O17,5)="Lista",LEFT('Fincas 20 km'!O17,2)="Sí"),"Libre o lista","Por consultar"))</f>
        <v>Propio / exclusivo</v>
      </c>
      <c r="J105" s="27"/>
      <c r="K105" s="27"/>
      <c r="L105" s="23" t="n">
        <f aca="false">IF(ISNUMBER('Fincas 20 km'!Y17),'Fincas 20 km'!Y17,"—")</f>
        <v>4.4</v>
      </c>
      <c r="M105" s="28" t="str">
        <f aca="false">'Fincas 20 km'!AJ17</f>
        <v>Buscar en Instagram</v>
      </c>
      <c r="N105" s="28"/>
      <c r="O105" s="28" t="str">
        <f aca="false">'Fincas 20 km'!AH17</f>
        <v>Ver ruta y tiempo</v>
      </c>
      <c r="P105" s="28"/>
    </row>
    <row r="106" customFormat="false" ht="15.75" hidden="false" customHeight="true" outlineLevel="0" collapsed="false">
      <c r="B106" s="15" t="str">
        <f aca="false">'Fincas 20 km'!B18</f>
        <v>Finca Astilbe (by Eneldo)</v>
      </c>
      <c r="C106" s="15"/>
      <c r="D106" s="15"/>
      <c r="E106" s="16" t="n">
        <f aca="false">'Fincas 20 km'!F18</f>
        <v>10.6</v>
      </c>
      <c r="F106" s="17" t="n">
        <f aca="false">'Fincas 20 km'!AG18</f>
        <v>21</v>
      </c>
      <c r="G106" s="18" t="n">
        <f aca="false">IF(ISNUMBER('Fincas 20 km'!I18),'Fincas 20 km'!I18,0)</f>
        <v>145</v>
      </c>
      <c r="H106" s="19" t="n">
        <f aca="false">IF(ISNUMBER('Fincas 20 km'!L18),'Fincas 20 km'!L18,0)</f>
        <v>600</v>
      </c>
      <c r="I106" s="20" t="str">
        <f aca="false">IF(LEFT('Fincas 20 km'!O18,2)="No","Propio / exclusivo",IF(OR(LEFT('Fincas 20 km'!O18,5)="Posib",LEFT('Fincas 20 km'!O18,5)="Proba",LEFT('Fincas 20 km'!O18,5)="Lista",LEFT('Fincas 20 km'!O18,2)="Sí"),"Libre o lista","Por consultar"))</f>
        <v>Propio / exclusivo</v>
      </c>
      <c r="J106" s="20"/>
      <c r="K106" s="20"/>
      <c r="L106" s="16" t="n">
        <f aca="false">IF(ISNUMBER('Fincas 20 km'!Y18),'Fincas 20 km'!Y18,"—")</f>
        <v>4</v>
      </c>
      <c r="M106" s="21" t="str">
        <f aca="false">'Fincas 20 km'!AJ18</f>
        <v>Buscar en Instagram</v>
      </c>
      <c r="N106" s="21"/>
      <c r="O106" s="21" t="str">
        <f aca="false">'Fincas 20 km'!AH18</f>
        <v>Ver ruta y tiempo</v>
      </c>
      <c r="P106" s="21"/>
    </row>
    <row r="107" customFormat="false" ht="15.75" hidden="false" customHeight="true" outlineLevel="0" collapsed="false">
      <c r="B107" s="22" t="str">
        <f aca="false">'Fincas 20 km'!B19</f>
        <v>El Mirador de Cuatrovientos (incl. Finca Las Palmeras)</v>
      </c>
      <c r="C107" s="22"/>
      <c r="D107" s="22"/>
      <c r="E107" s="23" t="n">
        <f aca="false">'Fincas 20 km'!F19</f>
        <v>10.8</v>
      </c>
      <c r="F107" s="24" t="n">
        <f aca="false">'Fincas 20 km'!AG19</f>
        <v>21</v>
      </c>
      <c r="G107" s="25" t="n">
        <f aca="false">IF(ISNUMBER('Fincas 20 km'!I19),'Fincas 20 km'!I19,0)</f>
        <v>99</v>
      </c>
      <c r="H107" s="26" t="n">
        <f aca="false">IF(ISNUMBER('Fincas 20 km'!L19),'Fincas 20 km'!L19,0)</f>
        <v>1000</v>
      </c>
      <c r="I107" s="27" t="str">
        <f aca="false">IF(LEFT('Fincas 20 km'!O19,2)="No","Propio / exclusivo",IF(OR(LEFT('Fincas 20 km'!O19,5)="Posib",LEFT('Fincas 20 km'!O19,5)="Proba",LEFT('Fincas 20 km'!O19,5)="Lista",LEFT('Fincas 20 km'!O19,2)="Sí"),"Libre o lista","Por consultar"))</f>
        <v>Propio / exclusivo</v>
      </c>
      <c r="J107" s="27"/>
      <c r="K107" s="27"/>
      <c r="L107" s="23" t="n">
        <f aca="false">IF(ISNUMBER('Fincas 20 km'!Y19),'Fincas 20 km'!Y19,"—")</f>
        <v>4.3</v>
      </c>
      <c r="M107" s="28" t="str">
        <f aca="false">'Fincas 20 km'!AJ19</f>
        <v>Buscar en Instagram</v>
      </c>
      <c r="N107" s="28"/>
      <c r="O107" s="28" t="str">
        <f aca="false">'Fincas 20 km'!AH19</f>
        <v>Ver ruta y tiempo</v>
      </c>
      <c r="P107" s="28"/>
    </row>
    <row r="108" customFormat="false" ht="15.75" hidden="false" customHeight="true" outlineLevel="0" collapsed="false">
      <c r="B108" s="15" t="str">
        <f aca="false">'Fincas 20 km'!B20</f>
        <v>U-Zalacaín La Finca</v>
      </c>
      <c r="C108" s="15"/>
      <c r="D108" s="15"/>
      <c r="E108" s="16" t="n">
        <f aca="false">'Fincas 20 km'!F20</f>
        <v>10.9</v>
      </c>
      <c r="F108" s="17" t="n">
        <f aca="false">'Fincas 20 km'!AG20</f>
        <v>21</v>
      </c>
      <c r="G108" s="18" t="n">
        <f aca="false">IF(ISNUMBER('Fincas 20 km'!I20),'Fincas 20 km'!I20,0)</f>
        <v>135</v>
      </c>
      <c r="H108" s="19" t="n">
        <f aca="false">IF(ISNUMBER('Fincas 20 km'!L20),'Fincas 20 km'!L20,0)</f>
        <v>450</v>
      </c>
      <c r="I108" s="20" t="str">
        <f aca="false">IF(LEFT('Fincas 20 km'!O20,2)="No","Propio / exclusivo",IF(OR(LEFT('Fincas 20 km'!O20,5)="Posib",LEFT('Fincas 20 km'!O20,5)="Proba",LEFT('Fincas 20 km'!O20,5)="Lista",LEFT('Fincas 20 km'!O20,2)="Sí"),"Libre o lista","Por consultar"))</f>
        <v>Propio / exclusivo</v>
      </c>
      <c r="J108" s="20"/>
      <c r="K108" s="20"/>
      <c r="L108" s="16" t="n">
        <f aca="false">IF(ISNUMBER('Fincas 20 km'!Y20),'Fincas 20 km'!Y20,"—")</f>
        <v>4.5</v>
      </c>
      <c r="M108" s="21" t="str">
        <f aca="false">'Fincas 20 km'!AJ20</f>
        <v>Buscar en Instagram</v>
      </c>
      <c r="N108" s="21"/>
      <c r="O108" s="21" t="str">
        <f aca="false">'Fincas 20 km'!AH20</f>
        <v>Ver ruta y tiempo</v>
      </c>
      <c r="P108" s="21"/>
    </row>
    <row r="109" customFormat="false" ht="15.75" hidden="false" customHeight="true" outlineLevel="0" collapsed="false">
      <c r="B109" s="22" t="str">
        <f aca="false">'Fincas 20 km'!B21</f>
        <v>Finca La Muñoza (La Cococha)</v>
      </c>
      <c r="C109" s="22"/>
      <c r="D109" s="22"/>
      <c r="E109" s="23" t="n">
        <f aca="false">'Fincas 20 km'!F21</f>
        <v>11</v>
      </c>
      <c r="F109" s="24" t="n">
        <f aca="false">'Fincas 20 km'!AG21</f>
        <v>21</v>
      </c>
      <c r="G109" s="25" t="n">
        <f aca="false">IF(ISNUMBER('Fincas 20 km'!I21),'Fincas 20 km'!I21,0)</f>
        <v>125</v>
      </c>
      <c r="H109" s="26" t="n">
        <f aca="false">IF(ISNUMBER('Fincas 20 km'!L21),'Fincas 20 km'!L21,0)</f>
        <v>600</v>
      </c>
      <c r="I109" s="27" t="str">
        <f aca="false">IF(LEFT('Fincas 20 km'!O21,2)="No","Propio / exclusivo",IF(OR(LEFT('Fincas 20 km'!O21,5)="Posib",LEFT('Fincas 20 km'!O21,5)="Proba",LEFT('Fincas 20 km'!O21,5)="Lista",LEFT('Fincas 20 km'!O21,2)="Sí"),"Libre o lista","Por consultar"))</f>
        <v>Propio / exclusivo</v>
      </c>
      <c r="J109" s="27"/>
      <c r="K109" s="27"/>
      <c r="L109" s="23" t="n">
        <f aca="false">IF(ISNUMBER('Fincas 20 km'!Y21),'Fincas 20 km'!Y21,"—")</f>
        <v>4.5</v>
      </c>
      <c r="M109" s="28" t="str">
        <f aca="false">'Fincas 20 km'!AJ21</f>
        <v>Buscar en Instagram</v>
      </c>
      <c r="N109" s="28"/>
      <c r="O109" s="28" t="str">
        <f aca="false">'Fincas 20 km'!AH21</f>
        <v>Ver ruta y tiempo</v>
      </c>
      <c r="P109" s="28"/>
    </row>
    <row r="110" customFormat="false" ht="15.75" hidden="false" customHeight="true" outlineLevel="0" collapsed="false">
      <c r="B110" s="15" t="str">
        <f aca="false">'Fincas 20 km'!B22</f>
        <v>Real Club La Moraleja</v>
      </c>
      <c r="C110" s="15"/>
      <c r="D110" s="15"/>
      <c r="E110" s="16" t="n">
        <f aca="false">'Fincas 20 km'!F22</f>
        <v>11.2</v>
      </c>
      <c r="F110" s="17" t="n">
        <f aca="false">'Fincas 20 km'!AG22</f>
        <v>22</v>
      </c>
      <c r="G110" s="18" t="n">
        <f aca="false">IF(ISNUMBER('Fincas 20 km'!I22),'Fincas 20 km'!I22,0)</f>
        <v>0</v>
      </c>
      <c r="H110" s="19" t="n">
        <f aca="false">IF(ISNUMBER('Fincas 20 km'!L22),'Fincas 20 km'!L22,0)</f>
        <v>0</v>
      </c>
      <c r="I110" s="20" t="str">
        <f aca="false">IF(LEFT('Fincas 20 km'!O22,2)="No","Propio / exclusivo",IF(OR(LEFT('Fincas 20 km'!O22,5)="Posib",LEFT('Fincas 20 km'!O22,5)="Proba",LEFT('Fincas 20 km'!O22,5)="Lista",LEFT('Fincas 20 km'!O22,2)="Sí"),"Libre o lista","Por consultar"))</f>
        <v>Propio / exclusivo</v>
      </c>
      <c r="J110" s="20"/>
      <c r="K110" s="20"/>
      <c r="L110" s="16" t="n">
        <f aca="false">IF(ISNUMBER('Fincas 20 km'!Y22),'Fincas 20 km'!Y22,"—")</f>
        <v>4.4</v>
      </c>
      <c r="M110" s="21" t="str">
        <f aca="false">'Fincas 20 km'!AJ22</f>
        <v>Buscar en Instagram</v>
      </c>
      <c r="N110" s="21"/>
      <c r="O110" s="21" t="str">
        <f aca="false">'Fincas 20 km'!AH22</f>
        <v>Ver ruta y tiempo</v>
      </c>
      <c r="P110" s="21"/>
    </row>
    <row r="111" customFormat="false" ht="15.75" hidden="false" customHeight="true" outlineLevel="0" collapsed="false">
      <c r="B111" s="22" t="str">
        <f aca="false">'Fincas 20 km'!B23</f>
        <v>Finca Petit Moraleja</v>
      </c>
      <c r="C111" s="22"/>
      <c r="D111" s="22"/>
      <c r="E111" s="23" t="n">
        <f aca="false">'Fincas 20 km'!F23</f>
        <v>12.5</v>
      </c>
      <c r="F111" s="24" t="n">
        <f aca="false">'Fincas 20 km'!AG23</f>
        <v>24</v>
      </c>
      <c r="G111" s="25" t="n">
        <f aca="false">IF(ISNUMBER('Fincas 20 km'!I23),'Fincas 20 km'!I23,0)</f>
        <v>0</v>
      </c>
      <c r="H111" s="26" t="n">
        <f aca="false">IF(ISNUMBER('Fincas 20 km'!L23),'Fincas 20 km'!L23,0)</f>
        <v>0</v>
      </c>
      <c r="I111" s="27" t="str">
        <f aca="false">IF(LEFT('Fincas 20 km'!O23,2)="No","Propio / exclusivo",IF(OR(LEFT('Fincas 20 km'!O23,5)="Posib",LEFT('Fincas 20 km'!O23,5)="Proba",LEFT('Fincas 20 km'!O23,5)="Lista",LEFT('Fincas 20 km'!O23,2)="Sí"),"Libre o lista","Por consultar"))</f>
        <v>Por consultar</v>
      </c>
      <c r="J111" s="27"/>
      <c r="K111" s="27"/>
      <c r="L111" s="23" t="n">
        <f aca="false">IF(ISNUMBER('Fincas 20 km'!Y23),'Fincas 20 km'!Y23,"—")</f>
        <v>4.3</v>
      </c>
      <c r="M111" s="28" t="str">
        <f aca="false">'Fincas 20 km'!AJ23</f>
        <v>Buscar en Instagram</v>
      </c>
      <c r="N111" s="28"/>
      <c r="O111" s="28" t="str">
        <f aca="false">'Fincas 20 km'!AH23</f>
        <v>Ver ruta y tiempo</v>
      </c>
      <c r="P111" s="28"/>
    </row>
    <row r="112" customFormat="false" ht="15.75" hidden="false" customHeight="true" outlineLevel="0" collapsed="false">
      <c r="B112" s="15" t="str">
        <f aca="false">'Fincas 20 km'!B24</f>
        <v>El Jardín de la Florida</v>
      </c>
      <c r="C112" s="15"/>
      <c r="D112" s="15"/>
      <c r="E112" s="16" t="n">
        <f aca="false">'Fincas 20 km'!F24</f>
        <v>12.6</v>
      </c>
      <c r="F112" s="17" t="n">
        <f aca="false">'Fincas 20 km'!AG24</f>
        <v>25</v>
      </c>
      <c r="G112" s="18" t="n">
        <f aca="false">IF(ISNUMBER('Fincas 20 km'!I24),'Fincas 20 km'!I24,0)</f>
        <v>0</v>
      </c>
      <c r="H112" s="19" t="n">
        <f aca="false">IF(ISNUMBER('Fincas 20 km'!L24),'Fincas 20 km'!L24,0)</f>
        <v>0</v>
      </c>
      <c r="I112" s="20" t="str">
        <f aca="false">IF(LEFT('Fincas 20 km'!O24,2)="No","Propio / exclusivo",IF(OR(LEFT('Fincas 20 km'!O24,5)="Posib",LEFT('Fincas 20 km'!O24,5)="Proba",LEFT('Fincas 20 km'!O24,5)="Lista",LEFT('Fincas 20 km'!O24,2)="Sí"),"Libre o lista","Por consultar"))</f>
        <v>Libre o lista</v>
      </c>
      <c r="J112" s="20"/>
      <c r="K112" s="20"/>
      <c r="L112" s="16" t="n">
        <f aca="false">IF(ISNUMBER('Fincas 20 km'!Y24),'Fincas 20 km'!Y24,"—")</f>
        <v>4.9</v>
      </c>
      <c r="M112" s="21" t="str">
        <f aca="false">'Fincas 20 km'!AJ24</f>
        <v>Buscar en Instagram</v>
      </c>
      <c r="N112" s="21"/>
      <c r="O112" s="21" t="str">
        <f aca="false">'Fincas 20 km'!AH24</f>
        <v>Ver ruta y tiempo</v>
      </c>
      <c r="P112" s="21"/>
    </row>
    <row r="113" customFormat="false" ht="15.75" hidden="false" customHeight="true" outlineLevel="0" collapsed="false">
      <c r="B113" s="22" t="str">
        <f aca="false">'Fincas 20 km'!B25</f>
        <v>Initium (Artigot Catering)</v>
      </c>
      <c r="C113" s="22"/>
      <c r="D113" s="22"/>
      <c r="E113" s="23" t="n">
        <f aca="false">'Fincas 20 km'!F25</f>
        <v>12.9</v>
      </c>
      <c r="F113" s="24" t="n">
        <f aca="false">'Fincas 20 km'!AG25</f>
        <v>25</v>
      </c>
      <c r="G113" s="25" t="n">
        <f aca="false">IF(ISNUMBER('Fincas 20 km'!I25),'Fincas 20 km'!I25,0)</f>
        <v>150</v>
      </c>
      <c r="H113" s="26" t="n">
        <f aca="false">IF(ISNUMBER('Fincas 20 km'!L25),'Fincas 20 km'!L25,0)</f>
        <v>270</v>
      </c>
      <c r="I113" s="27" t="str">
        <f aca="false">IF(LEFT('Fincas 20 km'!O25,2)="No","Propio / exclusivo",IF(OR(LEFT('Fincas 20 km'!O25,5)="Posib",LEFT('Fincas 20 km'!O25,5)="Proba",LEFT('Fincas 20 km'!O25,5)="Lista",LEFT('Fincas 20 km'!O25,2)="Sí"),"Libre o lista","Por consultar"))</f>
        <v>Propio / exclusivo</v>
      </c>
      <c r="J113" s="27"/>
      <c r="K113" s="27"/>
      <c r="L113" s="23" t="n">
        <f aca="false">IF(ISNUMBER('Fincas 20 km'!Y25),'Fincas 20 km'!Y25,"—")</f>
        <v>4.7</v>
      </c>
      <c r="M113" s="28" t="str">
        <f aca="false">'Fincas 20 km'!AJ25</f>
        <v>Buscar en Instagram</v>
      </c>
      <c r="N113" s="28"/>
      <c r="O113" s="28" t="str">
        <f aca="false">'Fincas 20 km'!AH25</f>
        <v>Ver ruta y tiempo</v>
      </c>
      <c r="P113" s="28"/>
    </row>
    <row r="114" customFormat="false" ht="15.75" hidden="false" customHeight="true" outlineLevel="0" collapsed="false">
      <c r="B114" s="15" t="str">
        <f aca="false">'Fincas 20 km'!B26</f>
        <v>Finca El Chaparral</v>
      </c>
      <c r="C114" s="15"/>
      <c r="D114" s="15"/>
      <c r="E114" s="16" t="n">
        <f aca="false">'Fincas 20 km'!F26</f>
        <v>13</v>
      </c>
      <c r="F114" s="17" t="n">
        <f aca="false">'Fincas 20 km'!AG26</f>
        <v>25</v>
      </c>
      <c r="G114" s="18" t="n">
        <f aca="false">IF(ISNUMBER('Fincas 20 km'!I26),'Fincas 20 km'!I26,0)</f>
        <v>0</v>
      </c>
      <c r="H114" s="19" t="n">
        <f aca="false">IF(ISNUMBER('Fincas 20 km'!L26),'Fincas 20 km'!L26,0)</f>
        <v>0</v>
      </c>
      <c r="I114" s="20" t="str">
        <f aca="false">IF(LEFT('Fincas 20 km'!O26,2)="No","Propio / exclusivo",IF(OR(LEFT('Fincas 20 km'!O26,5)="Posib",LEFT('Fincas 20 km'!O26,5)="Proba",LEFT('Fincas 20 km'!O26,5)="Lista",LEFT('Fincas 20 km'!O26,2)="Sí"),"Libre o lista","Por consultar"))</f>
        <v>Por consultar</v>
      </c>
      <c r="J114" s="20"/>
      <c r="K114" s="20"/>
      <c r="L114" s="16" t="n">
        <f aca="false">IF(ISNUMBER('Fincas 20 km'!Y26),'Fincas 20 km'!Y26,"—")</f>
        <v>4.6</v>
      </c>
      <c r="M114" s="21" t="str">
        <f aca="false">'Fincas 20 km'!AJ26</f>
        <v>Buscar en Instagram</v>
      </c>
      <c r="N114" s="21"/>
      <c r="O114" s="21" t="str">
        <f aca="false">'Fincas 20 km'!AH26</f>
        <v>Ver ruta y tiempo</v>
      </c>
      <c r="P114" s="21"/>
    </row>
    <row r="115" customFormat="false" ht="15.75" hidden="false" customHeight="true" outlineLevel="0" collapsed="false">
      <c r="B115" s="22" t="str">
        <f aca="false">'Fincas 20 km'!B27</f>
        <v>Torzares (finca La Escorzonera)</v>
      </c>
      <c r="C115" s="22"/>
      <c r="D115" s="22"/>
      <c r="E115" s="23" t="n">
        <f aca="false">'Fincas 20 km'!F27</f>
        <v>13.6</v>
      </c>
      <c r="F115" s="24" t="n">
        <f aca="false">'Fincas 20 km'!AG27</f>
        <v>27</v>
      </c>
      <c r="G115" s="25" t="n">
        <f aca="false">IF(ISNUMBER('Fincas 20 km'!I27),'Fincas 20 km'!I27,0)</f>
        <v>0</v>
      </c>
      <c r="H115" s="26" t="n">
        <f aca="false">IF(ISNUMBER('Fincas 20 km'!L27),'Fincas 20 km'!L27,0)</f>
        <v>400</v>
      </c>
      <c r="I115" s="27" t="str">
        <f aca="false">IF(LEFT('Fincas 20 km'!O27,2)="No","Propio / exclusivo",IF(OR(LEFT('Fincas 20 km'!O27,5)="Posib",LEFT('Fincas 20 km'!O27,5)="Proba",LEFT('Fincas 20 km'!O27,5)="Lista",LEFT('Fincas 20 km'!O27,2)="Sí"),"Libre o lista","Por consultar"))</f>
        <v>Libre o lista</v>
      </c>
      <c r="J115" s="27"/>
      <c r="K115" s="27"/>
      <c r="L115" s="23" t="str">
        <f aca="false">IF(ISNUMBER('Fincas 20 km'!Y27),'Fincas 20 km'!Y27,"—")</f>
        <v>—</v>
      </c>
      <c r="M115" s="28" t="str">
        <f aca="false">'Fincas 20 km'!AJ27</f>
        <v>Buscar en Instagram</v>
      </c>
      <c r="N115" s="28"/>
      <c r="O115" s="28" t="str">
        <f aca="false">'Fincas 20 km'!AH27</f>
        <v>Ver ruta y tiempo</v>
      </c>
      <c r="P115" s="28"/>
    </row>
    <row r="116" customFormat="false" ht="15.75" hidden="false" customHeight="true" outlineLevel="0" collapsed="false">
      <c r="B116" s="15" t="str">
        <f aca="false">'Fincas 20 km'!B28</f>
        <v>Restaurante San Francisco (El Pardo)</v>
      </c>
      <c r="C116" s="15"/>
      <c r="D116" s="15"/>
      <c r="E116" s="16" t="n">
        <f aca="false">'Fincas 20 km'!F28</f>
        <v>13.6</v>
      </c>
      <c r="F116" s="17" t="n">
        <f aca="false">'Fincas 20 km'!AG28</f>
        <v>27</v>
      </c>
      <c r="G116" s="18" t="n">
        <f aca="false">IF(ISNUMBER('Fincas 20 km'!I28),'Fincas 20 km'!I28,0)</f>
        <v>0</v>
      </c>
      <c r="H116" s="19" t="n">
        <f aca="false">IF(ISNUMBER('Fincas 20 km'!L28),'Fincas 20 km'!L28,0)</f>
        <v>0</v>
      </c>
      <c r="I116" s="20" t="str">
        <f aca="false">IF(LEFT('Fincas 20 km'!O28,2)="No","Propio / exclusivo",IF(OR(LEFT('Fincas 20 km'!O28,5)="Posib",LEFT('Fincas 20 km'!O28,5)="Proba",LEFT('Fincas 20 km'!O28,5)="Lista",LEFT('Fincas 20 km'!O28,2)="Sí"),"Libre o lista","Por consultar"))</f>
        <v>Propio / exclusivo</v>
      </c>
      <c r="J116" s="20"/>
      <c r="K116" s="20"/>
      <c r="L116" s="16" t="n">
        <f aca="false">IF(ISNUMBER('Fincas 20 km'!Y28),'Fincas 20 km'!Y28,"—")</f>
        <v>4.2</v>
      </c>
      <c r="M116" s="21" t="str">
        <f aca="false">'Fincas 20 km'!AJ28</f>
        <v>Buscar en Instagram</v>
      </c>
      <c r="N116" s="21"/>
      <c r="O116" s="21" t="str">
        <f aca="false">'Fincas 20 km'!AH28</f>
        <v>Ver ruta y tiempo</v>
      </c>
      <c r="P116" s="21"/>
    </row>
    <row r="117" customFormat="false" ht="15.75" hidden="false" customHeight="true" outlineLevel="0" collapsed="false">
      <c r="B117" s="22" t="str">
        <f aca="false">'Fincas 20 km'!B29</f>
        <v>Palacio del Negralejo (Grupo Negralejo)</v>
      </c>
      <c r="C117" s="22"/>
      <c r="D117" s="22"/>
      <c r="E117" s="23" t="n">
        <f aca="false">'Fincas 20 km'!F29</f>
        <v>13.6</v>
      </c>
      <c r="F117" s="24" t="n">
        <f aca="false">'Fincas 20 km'!AG29</f>
        <v>27</v>
      </c>
      <c r="G117" s="25" t="n">
        <f aca="false">IF(ISNUMBER('Fincas 20 km'!I29),'Fincas 20 km'!I29,0)</f>
        <v>150</v>
      </c>
      <c r="H117" s="26" t="n">
        <f aca="false">IF(ISNUMBER('Fincas 20 km'!L29),'Fincas 20 km'!L29,0)</f>
        <v>400</v>
      </c>
      <c r="I117" s="27" t="str">
        <f aca="false">IF(LEFT('Fincas 20 km'!O29,2)="No","Propio / exclusivo",IF(OR(LEFT('Fincas 20 km'!O29,5)="Posib",LEFT('Fincas 20 km'!O29,5)="Proba",LEFT('Fincas 20 km'!O29,5)="Lista",LEFT('Fincas 20 km'!O29,2)="Sí"),"Libre o lista","Por consultar"))</f>
        <v>Propio / exclusivo</v>
      </c>
      <c r="J117" s="27"/>
      <c r="K117" s="27"/>
      <c r="L117" s="23" t="n">
        <f aca="false">IF(ISNUMBER('Fincas 20 km'!Y29),'Fincas 20 km'!Y29,"—")</f>
        <v>4.4</v>
      </c>
      <c r="M117" s="28" t="str">
        <f aca="false">'Fincas 20 km'!AJ29</f>
        <v>Buscar en Instagram</v>
      </c>
      <c r="N117" s="28"/>
      <c r="O117" s="28" t="str">
        <f aca="false">'Fincas 20 km'!AH29</f>
        <v>Ver ruta y tiempo</v>
      </c>
      <c r="P117" s="28"/>
    </row>
    <row r="118" customFormat="false" ht="15.75" hidden="false" customHeight="true" outlineLevel="0" collapsed="false">
      <c r="B118" s="15" t="str">
        <f aca="false">'Fincas 20 km'!B30</f>
        <v>Jardines del Negralejo (Grupo Negralejo)</v>
      </c>
      <c r="C118" s="15"/>
      <c r="D118" s="15"/>
      <c r="E118" s="16" t="n">
        <f aca="false">'Fincas 20 km'!F30</f>
        <v>13.7</v>
      </c>
      <c r="F118" s="17" t="n">
        <f aca="false">'Fincas 20 km'!AG30</f>
        <v>27</v>
      </c>
      <c r="G118" s="18" t="n">
        <f aca="false">IF(ISNUMBER('Fincas 20 km'!I30),'Fincas 20 km'!I30,0)</f>
        <v>150</v>
      </c>
      <c r="H118" s="19" t="n">
        <f aca="false">IF(ISNUMBER('Fincas 20 km'!L30),'Fincas 20 km'!L30,0)</f>
        <v>400</v>
      </c>
      <c r="I118" s="20" t="str">
        <f aca="false">IF(LEFT('Fincas 20 km'!O30,2)="No","Propio / exclusivo",IF(OR(LEFT('Fincas 20 km'!O30,5)="Posib",LEFT('Fincas 20 km'!O30,5)="Proba",LEFT('Fincas 20 km'!O30,5)="Lista",LEFT('Fincas 20 km'!O30,2)="Sí"),"Libre o lista","Por consultar"))</f>
        <v>Propio / exclusivo</v>
      </c>
      <c r="J118" s="20"/>
      <c r="K118" s="20"/>
      <c r="L118" s="16" t="n">
        <f aca="false">IF(ISNUMBER('Fincas 20 km'!Y30),'Fincas 20 km'!Y30,"—")</f>
        <v>4.3</v>
      </c>
      <c r="M118" s="21" t="str">
        <f aca="false">'Fincas 20 km'!AJ30</f>
        <v>Buscar en Instagram</v>
      </c>
      <c r="N118" s="21"/>
      <c r="O118" s="21" t="str">
        <f aca="false">'Fincas 20 km'!AH30</f>
        <v>Ver ruta y tiempo</v>
      </c>
      <c r="P118" s="21"/>
    </row>
    <row r="119" customFormat="false" ht="15.75" hidden="false" customHeight="true" outlineLevel="0" collapsed="false">
      <c r="B119" s="22" t="str">
        <f aca="false">'Fincas 20 km'!B31</f>
        <v>Finca La Alquería</v>
      </c>
      <c r="C119" s="22"/>
      <c r="D119" s="22"/>
      <c r="E119" s="23" t="n">
        <f aca="false">'Fincas 20 km'!F31</f>
        <v>14.8</v>
      </c>
      <c r="F119" s="24" t="n">
        <f aca="false">'Fincas 20 km'!AG31</f>
        <v>29</v>
      </c>
      <c r="G119" s="25" t="n">
        <f aca="false">IF(ISNUMBER('Fincas 20 km'!I31),'Fincas 20 km'!I31,0)</f>
        <v>100</v>
      </c>
      <c r="H119" s="26" t="n">
        <f aca="false">IF(ISNUMBER('Fincas 20 km'!L31),'Fincas 20 km'!L31,0)</f>
        <v>1200</v>
      </c>
      <c r="I119" s="27" t="str">
        <f aca="false">IF(LEFT('Fincas 20 km'!O31,2)="No","Propio / exclusivo",IF(OR(LEFT('Fincas 20 km'!O31,5)="Posib",LEFT('Fincas 20 km'!O31,5)="Proba",LEFT('Fincas 20 km'!O31,5)="Lista",LEFT('Fincas 20 km'!O31,2)="Sí"),"Libre o lista","Por consultar"))</f>
        <v>Propio / exclusivo</v>
      </c>
      <c r="J119" s="27"/>
      <c r="K119" s="27"/>
      <c r="L119" s="23" t="n">
        <f aca="false">IF(ISNUMBER('Fincas 20 km'!Y31),'Fincas 20 km'!Y31,"—")</f>
        <v>4.4</v>
      </c>
      <c r="M119" s="28" t="str">
        <f aca="false">'Fincas 20 km'!AJ31</f>
        <v>Buscar en Instagram</v>
      </c>
      <c r="N119" s="28"/>
      <c r="O119" s="28" t="str">
        <f aca="false">'Fincas 20 km'!AH31</f>
        <v>Ver ruta y tiempo</v>
      </c>
      <c r="P119" s="28"/>
    </row>
    <row r="120" customFormat="false" ht="15.75" hidden="false" customHeight="true" outlineLevel="0" collapsed="false">
      <c r="B120" s="15" t="str">
        <f aca="false">'Fincas 20 km'!B32</f>
        <v>Finca Las Jarillas</v>
      </c>
      <c r="C120" s="15"/>
      <c r="D120" s="15"/>
      <c r="E120" s="16" t="n">
        <f aca="false">'Fincas 20 km'!F32</f>
        <v>16.4</v>
      </c>
      <c r="F120" s="17" t="n">
        <f aca="false">'Fincas 20 km'!AG32</f>
        <v>32</v>
      </c>
      <c r="G120" s="18" t="n">
        <f aca="false">IF(ISNUMBER('Fincas 20 km'!I32),'Fincas 20 km'!I32,0)</f>
        <v>0</v>
      </c>
      <c r="H120" s="19" t="n">
        <f aca="false">IF(ISNUMBER('Fincas 20 km'!L32),'Fincas 20 km'!L32,0)</f>
        <v>500</v>
      </c>
      <c r="I120" s="20" t="str">
        <f aca="false">IF(LEFT('Fincas 20 km'!O32,2)="No","Propio / exclusivo",IF(OR(LEFT('Fincas 20 km'!O32,5)="Posib",LEFT('Fincas 20 km'!O32,5)="Proba",LEFT('Fincas 20 km'!O32,5)="Lista",LEFT('Fincas 20 km'!O32,2)="Sí"),"Libre o lista","Por consultar"))</f>
        <v>Por consultar</v>
      </c>
      <c r="J120" s="20"/>
      <c r="K120" s="20"/>
      <c r="L120" s="16" t="n">
        <f aca="false">IF(ISNUMBER('Fincas 20 km'!Y32),'Fincas 20 km'!Y32,"—")</f>
        <v>4.4</v>
      </c>
      <c r="M120" s="21" t="str">
        <f aca="false">'Fincas 20 km'!AJ32</f>
        <v>Buscar en Instagram</v>
      </c>
      <c r="N120" s="21"/>
      <c r="O120" s="21" t="str">
        <f aca="false">'Fincas 20 km'!AH32</f>
        <v>Ver ruta y tiempo</v>
      </c>
      <c r="P120" s="21"/>
    </row>
    <row r="121" customFormat="false" ht="15.75" hidden="false" customHeight="true" outlineLevel="0" collapsed="false">
      <c r="B121" s="22" t="str">
        <f aca="false">'Fincas 20 km'!B33</f>
        <v>El Antiguo Convento de Boadilla del Monte</v>
      </c>
      <c r="C121" s="22"/>
      <c r="D121" s="22"/>
      <c r="E121" s="23" t="n">
        <f aca="false">'Fincas 20 km'!F33</f>
        <v>17</v>
      </c>
      <c r="F121" s="24" t="n">
        <f aca="false">'Fincas 20 km'!AG33</f>
        <v>33</v>
      </c>
      <c r="G121" s="25" t="n">
        <f aca="false">IF(ISNUMBER('Fincas 20 km'!I33),'Fincas 20 km'!I33,0)</f>
        <v>145</v>
      </c>
      <c r="H121" s="26" t="n">
        <f aca="false">IF(ISNUMBER('Fincas 20 km'!L33),'Fincas 20 km'!L33,0)</f>
        <v>500</v>
      </c>
      <c r="I121" s="27" t="str">
        <f aca="false">IF(LEFT('Fincas 20 km'!O33,2)="No","Propio / exclusivo",IF(OR(LEFT('Fincas 20 km'!O33,5)="Posib",LEFT('Fincas 20 km'!O33,5)="Proba",LEFT('Fincas 20 km'!O33,5)="Lista",LEFT('Fincas 20 km'!O33,2)="Sí"),"Libre o lista","Por consultar"))</f>
        <v>Propio / exclusivo</v>
      </c>
      <c r="J121" s="27"/>
      <c r="K121" s="27"/>
      <c r="L121" s="23" t="n">
        <f aca="false">IF(ISNUMBER('Fincas 20 km'!Y33),'Fincas 20 km'!Y33,"—")</f>
        <v>4.5</v>
      </c>
      <c r="M121" s="28" t="str">
        <f aca="false">'Fincas 20 km'!AJ33</f>
        <v>Buscar en Instagram</v>
      </c>
      <c r="N121" s="28"/>
      <c r="O121" s="28" t="str">
        <f aca="false">'Fincas 20 km'!AH33</f>
        <v>Ver ruta y tiempo</v>
      </c>
      <c r="P121" s="28"/>
    </row>
    <row r="122" customFormat="false" ht="15.75" hidden="false" customHeight="true" outlineLevel="0" collapsed="false">
      <c r="B122" s="15" t="str">
        <f aca="false">'Fincas 20 km'!B34</f>
        <v>Palacio de Aldovea</v>
      </c>
      <c r="C122" s="15"/>
      <c r="D122" s="15"/>
      <c r="E122" s="16" t="n">
        <f aca="false">'Fincas 20 km'!F34</f>
        <v>17.1</v>
      </c>
      <c r="F122" s="17" t="n">
        <f aca="false">'Fincas 20 km'!AG34</f>
        <v>33</v>
      </c>
      <c r="G122" s="18" t="n">
        <f aca="false">IF(ISNUMBER('Fincas 20 km'!I34),'Fincas 20 km'!I34,0)</f>
        <v>0</v>
      </c>
      <c r="H122" s="19" t="n">
        <f aca="false">IF(ISNUMBER('Fincas 20 km'!L34),'Fincas 20 km'!L34,0)</f>
        <v>550</v>
      </c>
      <c r="I122" s="20" t="str">
        <f aca="false">IF(LEFT('Fincas 20 km'!O34,2)="No","Propio / exclusivo",IF(OR(LEFT('Fincas 20 km'!O34,5)="Posib",LEFT('Fincas 20 km'!O34,5)="Proba",LEFT('Fincas 20 km'!O34,5)="Lista",LEFT('Fincas 20 km'!O34,2)="Sí"),"Libre o lista","Por consultar"))</f>
        <v>Por consultar</v>
      </c>
      <c r="J122" s="20"/>
      <c r="K122" s="20"/>
      <c r="L122" s="16" t="n">
        <f aca="false">IF(ISNUMBER('Fincas 20 km'!Y34),'Fincas 20 km'!Y34,"—")</f>
        <v>4.6</v>
      </c>
      <c r="M122" s="21" t="str">
        <f aca="false">'Fincas 20 km'!AJ34</f>
        <v>Buscar en Instagram</v>
      </c>
      <c r="N122" s="21"/>
      <c r="O122" s="21" t="str">
        <f aca="false">'Fincas 20 km'!AH34</f>
        <v>Ver ruta y tiempo</v>
      </c>
      <c r="P122" s="21"/>
    </row>
    <row r="123" customFormat="false" ht="15.75" hidden="false" customHeight="true" outlineLevel="0" collapsed="false">
      <c r="B123" s="22" t="str">
        <f aca="false">'Fincas 20 km'!B35</f>
        <v>Finca Villa María</v>
      </c>
      <c r="C123" s="22"/>
      <c r="D123" s="22"/>
      <c r="E123" s="23" t="n">
        <f aca="false">'Fincas 20 km'!F35</f>
        <v>17.2</v>
      </c>
      <c r="F123" s="24" t="n">
        <f aca="false">'Fincas 20 km'!AG35</f>
        <v>34</v>
      </c>
      <c r="G123" s="25" t="n">
        <f aca="false">IF(ISNUMBER('Fincas 20 km'!I35),'Fincas 20 km'!I35,0)</f>
        <v>145</v>
      </c>
      <c r="H123" s="26" t="n">
        <f aca="false">IF(ISNUMBER('Fincas 20 km'!L35),'Fincas 20 km'!L35,0)</f>
        <v>0</v>
      </c>
      <c r="I123" s="27" t="str">
        <f aca="false">IF(LEFT('Fincas 20 km'!O35,2)="No","Propio / exclusivo",IF(OR(LEFT('Fincas 20 km'!O35,5)="Posib",LEFT('Fincas 20 km'!O35,5)="Proba",LEFT('Fincas 20 km'!O35,5)="Lista",LEFT('Fincas 20 km'!O35,2)="Sí"),"Libre o lista","Por consultar"))</f>
        <v>Propio / exclusivo</v>
      </c>
      <c r="J123" s="27"/>
      <c r="K123" s="27"/>
      <c r="L123" s="23" t="n">
        <f aca="false">IF(ISNUMBER('Fincas 20 km'!Y35),'Fincas 20 km'!Y35,"—")</f>
        <v>4.3</v>
      </c>
      <c r="M123" s="28" t="str">
        <f aca="false">'Fincas 20 km'!AJ35</f>
        <v>Buscar en Instagram</v>
      </c>
      <c r="N123" s="28"/>
      <c r="O123" s="28" t="str">
        <f aca="false">'Fincas 20 km'!AH35</f>
        <v>Ver ruta y tiempo</v>
      </c>
      <c r="P123" s="28"/>
    </row>
    <row r="124" customFormat="false" ht="15.75" hidden="false" customHeight="true" outlineLevel="0" collapsed="false">
      <c r="B124" s="15" t="str">
        <f aca="false">'Fincas 20 km'!B36</f>
        <v>Gasterea Finca Restaurante</v>
      </c>
      <c r="C124" s="15"/>
      <c r="D124" s="15"/>
      <c r="E124" s="16" t="n">
        <f aca="false">'Fincas 20 km'!F36</f>
        <v>17.2</v>
      </c>
      <c r="F124" s="17" t="n">
        <f aca="false">'Fincas 20 km'!AG36</f>
        <v>34</v>
      </c>
      <c r="G124" s="18" t="n">
        <f aca="false">IF(ISNUMBER('Fincas 20 km'!I36),'Fincas 20 km'!I36,0)</f>
        <v>120</v>
      </c>
      <c r="H124" s="19" t="n">
        <f aca="false">IF(ISNUMBER('Fincas 20 km'!L36),'Fincas 20 km'!L36,0)</f>
        <v>300</v>
      </c>
      <c r="I124" s="20" t="str">
        <f aca="false">IF(LEFT('Fincas 20 km'!O36,2)="No","Propio / exclusivo",IF(OR(LEFT('Fincas 20 km'!O36,5)="Posib",LEFT('Fincas 20 km'!O36,5)="Proba",LEFT('Fincas 20 km'!O36,5)="Lista",LEFT('Fincas 20 km'!O36,2)="Sí"),"Libre o lista","Por consultar"))</f>
        <v>Propio / exclusivo</v>
      </c>
      <c r="J124" s="20"/>
      <c r="K124" s="20"/>
      <c r="L124" s="16" t="n">
        <f aca="false">IF(ISNUMBER('Fincas 20 km'!Y36),'Fincas 20 km'!Y36,"—")</f>
        <v>4.2</v>
      </c>
      <c r="M124" s="21" t="str">
        <f aca="false">'Fincas 20 km'!AJ36</f>
        <v>Buscar en Instagram</v>
      </c>
      <c r="N124" s="21"/>
      <c r="O124" s="21" t="str">
        <f aca="false">'Fincas 20 km'!AH36</f>
        <v>Ver ruta y tiempo</v>
      </c>
      <c r="P124" s="21"/>
    </row>
    <row r="125" customFormat="false" ht="15.75" hidden="false" customHeight="true" outlineLevel="0" collapsed="false">
      <c r="B125" s="22" t="str">
        <f aca="false">'Fincas 20 km'!B37</f>
        <v>Finca La Constancia</v>
      </c>
      <c r="C125" s="22"/>
      <c r="D125" s="22"/>
      <c r="E125" s="23" t="n">
        <f aca="false">'Fincas 20 km'!F37</f>
        <v>17.5</v>
      </c>
      <c r="F125" s="24" t="n">
        <f aca="false">'Fincas 20 km'!AG37</f>
        <v>34</v>
      </c>
      <c r="G125" s="25" t="n">
        <f aca="false">IF(ISNUMBER('Fincas 20 km'!I37),'Fincas 20 km'!I37,0)</f>
        <v>50</v>
      </c>
      <c r="H125" s="26" t="n">
        <f aca="false">IF(ISNUMBER('Fincas 20 km'!L37),'Fincas 20 km'!L37,0)</f>
        <v>300</v>
      </c>
      <c r="I125" s="27" t="str">
        <f aca="false">IF(LEFT('Fincas 20 km'!O37,2)="No","Propio / exclusivo",IF(OR(LEFT('Fincas 20 km'!O37,5)="Posib",LEFT('Fincas 20 km'!O37,5)="Proba",LEFT('Fincas 20 km'!O37,5)="Lista",LEFT('Fincas 20 km'!O37,2)="Sí"),"Libre o lista","Por consultar"))</f>
        <v>Propio / exclusivo</v>
      </c>
      <c r="J125" s="27"/>
      <c r="K125" s="27"/>
      <c r="L125" s="23" t="n">
        <f aca="false">IF(ISNUMBER('Fincas 20 km'!Y37),'Fincas 20 km'!Y37,"—")</f>
        <v>4.1</v>
      </c>
      <c r="M125" s="28" t="str">
        <f aca="false">'Fincas 20 km'!AJ37</f>
        <v>Buscar en Instagram</v>
      </c>
      <c r="N125" s="28"/>
      <c r="O125" s="28" t="str">
        <f aca="false">'Fincas 20 km'!AH37</f>
        <v>Ver ruta y tiempo</v>
      </c>
      <c r="P125" s="28"/>
    </row>
    <row r="126" customFormat="false" ht="15.75" hidden="false" customHeight="true" outlineLevel="0" collapsed="false">
      <c r="B126" s="15" t="str">
        <f aca="false">'Fincas 20 km'!B38</f>
        <v>Villa Laureana</v>
      </c>
      <c r="C126" s="15"/>
      <c r="D126" s="15"/>
      <c r="E126" s="16" t="n">
        <f aca="false">'Fincas 20 km'!F38</f>
        <v>18.9</v>
      </c>
      <c r="F126" s="17" t="n">
        <f aca="false">'Fincas 20 km'!AG38</f>
        <v>37</v>
      </c>
      <c r="G126" s="18" t="n">
        <f aca="false">IF(ISNUMBER('Fincas 20 km'!I38),'Fincas 20 km'!I38,0)</f>
        <v>120</v>
      </c>
      <c r="H126" s="19" t="n">
        <f aca="false">IF(ISNUMBER('Fincas 20 km'!L38),'Fincas 20 km'!L38,0)</f>
        <v>800</v>
      </c>
      <c r="I126" s="20" t="str">
        <f aca="false">IF(LEFT('Fincas 20 km'!O38,2)="No","Propio / exclusivo",IF(OR(LEFT('Fincas 20 km'!O38,5)="Posib",LEFT('Fincas 20 km'!O38,5)="Proba",LEFT('Fincas 20 km'!O38,5)="Lista",LEFT('Fincas 20 km'!O38,2)="Sí"),"Libre o lista","Por consultar"))</f>
        <v>Propio / exclusivo</v>
      </c>
      <c r="J126" s="20"/>
      <c r="K126" s="20"/>
      <c r="L126" s="16" t="n">
        <f aca="false">IF(ISNUMBER('Fincas 20 km'!Y38),'Fincas 20 km'!Y38,"—")</f>
        <v>4.3</v>
      </c>
      <c r="M126" s="21" t="str">
        <f aca="false">'Fincas 20 km'!AJ38</f>
        <v>Buscar en Instagram</v>
      </c>
      <c r="N126" s="21"/>
      <c r="O126" s="21" t="str">
        <f aca="false">'Fincas 20 km'!AH38</f>
        <v>Ver ruta y tiempo</v>
      </c>
      <c r="P126" s="21"/>
    </row>
    <row r="127" customFormat="false" ht="15.75" hidden="false" customHeight="true" outlineLevel="0" collapsed="false">
      <c r="B127" s="22" t="str">
        <f aca="false">'Fincas 20 km'!B39</f>
        <v>Señorío de Ajuria</v>
      </c>
      <c r="C127" s="22"/>
      <c r="D127" s="22"/>
      <c r="E127" s="23" t="n">
        <f aca="false">'Fincas 20 km'!F39</f>
        <v>19.2</v>
      </c>
      <c r="F127" s="24" t="n">
        <f aca="false">'Fincas 20 km'!AG39</f>
        <v>37</v>
      </c>
      <c r="G127" s="25" t="n">
        <f aca="false">IF(ISNUMBER('Fincas 20 km'!I39),'Fincas 20 km'!I39,0)</f>
        <v>90</v>
      </c>
      <c r="H127" s="26" t="n">
        <f aca="false">IF(ISNUMBER('Fincas 20 km'!L39),'Fincas 20 km'!L39,0)</f>
        <v>300</v>
      </c>
      <c r="I127" s="27" t="str">
        <f aca="false">IF(LEFT('Fincas 20 km'!O39,2)="No","Propio / exclusivo",IF(OR(LEFT('Fincas 20 km'!O39,5)="Posib",LEFT('Fincas 20 km'!O39,5)="Proba",LEFT('Fincas 20 km'!O39,5)="Lista",LEFT('Fincas 20 km'!O39,2)="Sí"),"Libre o lista","Por consultar"))</f>
        <v>Propio / exclusivo</v>
      </c>
      <c r="J127" s="27"/>
      <c r="K127" s="27"/>
      <c r="L127" s="23" t="n">
        <f aca="false">IF(ISNUMBER('Fincas 20 km'!Y39),'Fincas 20 km'!Y39,"—")</f>
        <v>4</v>
      </c>
      <c r="M127" s="28" t="str">
        <f aca="false">'Fincas 20 km'!AJ39</f>
        <v>Buscar en Instagram</v>
      </c>
      <c r="N127" s="28"/>
      <c r="O127" s="28" t="str">
        <f aca="false">'Fincas 20 km'!AH39</f>
        <v>Ver ruta y tiempo</v>
      </c>
      <c r="P127" s="28"/>
    </row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</sheetData>
  <mergeCells count="178">
    <mergeCell ref="B1:P2"/>
    <mergeCell ref="B3:P3"/>
    <mergeCell ref="B5:D5"/>
    <mergeCell ref="E5:G5"/>
    <mergeCell ref="H5:J5"/>
    <mergeCell ref="K5:M5"/>
    <mergeCell ref="N5:P5"/>
    <mergeCell ref="B6:D7"/>
    <mergeCell ref="E6:G7"/>
    <mergeCell ref="H6:J7"/>
    <mergeCell ref="K6:M7"/>
    <mergeCell ref="N6:P7"/>
    <mergeCell ref="B8:D8"/>
    <mergeCell ref="E8:G8"/>
    <mergeCell ref="H8:J8"/>
    <mergeCell ref="K8:M8"/>
    <mergeCell ref="N8:P8"/>
    <mergeCell ref="B10:P10"/>
    <mergeCell ref="B47:P47"/>
    <mergeCell ref="J60:P64"/>
    <mergeCell ref="J66:P70"/>
    <mergeCell ref="B88:P88"/>
    <mergeCell ref="B89:D89"/>
    <mergeCell ref="I89:K89"/>
    <mergeCell ref="M89:N89"/>
    <mergeCell ref="O89:P89"/>
    <mergeCell ref="B90:D90"/>
    <mergeCell ref="I90:K90"/>
    <mergeCell ref="M90:N90"/>
    <mergeCell ref="O90:P90"/>
    <mergeCell ref="B91:D91"/>
    <mergeCell ref="I91:K91"/>
    <mergeCell ref="M91:N91"/>
    <mergeCell ref="O91:P91"/>
    <mergeCell ref="B92:D92"/>
    <mergeCell ref="I92:K92"/>
    <mergeCell ref="M92:N92"/>
    <mergeCell ref="O92:P92"/>
    <mergeCell ref="B93:D93"/>
    <mergeCell ref="I93:K93"/>
    <mergeCell ref="M93:N93"/>
    <mergeCell ref="O93:P93"/>
    <mergeCell ref="B94:D94"/>
    <mergeCell ref="I94:K94"/>
    <mergeCell ref="M94:N94"/>
    <mergeCell ref="O94:P94"/>
    <mergeCell ref="B95:D95"/>
    <mergeCell ref="I95:K95"/>
    <mergeCell ref="M95:N95"/>
    <mergeCell ref="O95:P95"/>
    <mergeCell ref="B96:D96"/>
    <mergeCell ref="I96:K96"/>
    <mergeCell ref="M96:N96"/>
    <mergeCell ref="O96:P96"/>
    <mergeCell ref="B97:D97"/>
    <mergeCell ref="I97:K97"/>
    <mergeCell ref="M97:N97"/>
    <mergeCell ref="O97:P97"/>
    <mergeCell ref="B98:D98"/>
    <mergeCell ref="I98:K98"/>
    <mergeCell ref="M98:N98"/>
    <mergeCell ref="O98:P98"/>
    <mergeCell ref="B99:D99"/>
    <mergeCell ref="I99:K99"/>
    <mergeCell ref="M99:N99"/>
    <mergeCell ref="O99:P99"/>
    <mergeCell ref="B100:D100"/>
    <mergeCell ref="I100:K100"/>
    <mergeCell ref="M100:N100"/>
    <mergeCell ref="O100:P100"/>
    <mergeCell ref="B101:D101"/>
    <mergeCell ref="I101:K101"/>
    <mergeCell ref="M101:N101"/>
    <mergeCell ref="O101:P101"/>
    <mergeCell ref="B102:D102"/>
    <mergeCell ref="I102:K102"/>
    <mergeCell ref="M102:N102"/>
    <mergeCell ref="O102:P102"/>
    <mergeCell ref="B103:D103"/>
    <mergeCell ref="I103:K103"/>
    <mergeCell ref="M103:N103"/>
    <mergeCell ref="O103:P103"/>
    <mergeCell ref="B104:D104"/>
    <mergeCell ref="I104:K104"/>
    <mergeCell ref="M104:N104"/>
    <mergeCell ref="O104:P104"/>
    <mergeCell ref="B105:D105"/>
    <mergeCell ref="I105:K105"/>
    <mergeCell ref="M105:N105"/>
    <mergeCell ref="O105:P105"/>
    <mergeCell ref="B106:D106"/>
    <mergeCell ref="I106:K106"/>
    <mergeCell ref="M106:N106"/>
    <mergeCell ref="O106:P106"/>
    <mergeCell ref="B107:D107"/>
    <mergeCell ref="I107:K107"/>
    <mergeCell ref="M107:N107"/>
    <mergeCell ref="O107:P107"/>
    <mergeCell ref="B108:D108"/>
    <mergeCell ref="I108:K108"/>
    <mergeCell ref="M108:N108"/>
    <mergeCell ref="O108:P108"/>
    <mergeCell ref="B109:D109"/>
    <mergeCell ref="I109:K109"/>
    <mergeCell ref="M109:N109"/>
    <mergeCell ref="O109:P109"/>
    <mergeCell ref="B110:D110"/>
    <mergeCell ref="I110:K110"/>
    <mergeCell ref="M110:N110"/>
    <mergeCell ref="O110:P110"/>
    <mergeCell ref="B111:D111"/>
    <mergeCell ref="I111:K111"/>
    <mergeCell ref="M111:N111"/>
    <mergeCell ref="O111:P111"/>
    <mergeCell ref="B112:D112"/>
    <mergeCell ref="I112:K112"/>
    <mergeCell ref="M112:N112"/>
    <mergeCell ref="O112:P112"/>
    <mergeCell ref="B113:D113"/>
    <mergeCell ref="I113:K113"/>
    <mergeCell ref="M113:N113"/>
    <mergeCell ref="O113:P113"/>
    <mergeCell ref="B114:D114"/>
    <mergeCell ref="I114:K114"/>
    <mergeCell ref="M114:N114"/>
    <mergeCell ref="O114:P114"/>
    <mergeCell ref="B115:D115"/>
    <mergeCell ref="I115:K115"/>
    <mergeCell ref="M115:N115"/>
    <mergeCell ref="O115:P115"/>
    <mergeCell ref="B116:D116"/>
    <mergeCell ref="I116:K116"/>
    <mergeCell ref="M116:N116"/>
    <mergeCell ref="O116:P116"/>
    <mergeCell ref="B117:D117"/>
    <mergeCell ref="I117:K117"/>
    <mergeCell ref="M117:N117"/>
    <mergeCell ref="O117:P117"/>
    <mergeCell ref="B118:D118"/>
    <mergeCell ref="I118:K118"/>
    <mergeCell ref="M118:N118"/>
    <mergeCell ref="O118:P118"/>
    <mergeCell ref="B119:D119"/>
    <mergeCell ref="I119:K119"/>
    <mergeCell ref="M119:N119"/>
    <mergeCell ref="O119:P119"/>
    <mergeCell ref="B120:D120"/>
    <mergeCell ref="I120:K120"/>
    <mergeCell ref="M120:N120"/>
    <mergeCell ref="O120:P120"/>
    <mergeCell ref="B121:D121"/>
    <mergeCell ref="I121:K121"/>
    <mergeCell ref="M121:N121"/>
    <mergeCell ref="O121:P121"/>
    <mergeCell ref="B122:D122"/>
    <mergeCell ref="I122:K122"/>
    <mergeCell ref="M122:N122"/>
    <mergeCell ref="O122:P122"/>
    <mergeCell ref="B123:D123"/>
    <mergeCell ref="I123:K123"/>
    <mergeCell ref="M123:N123"/>
    <mergeCell ref="O123:P123"/>
    <mergeCell ref="B124:D124"/>
    <mergeCell ref="I124:K124"/>
    <mergeCell ref="M124:N124"/>
    <mergeCell ref="O124:P124"/>
    <mergeCell ref="B125:D125"/>
    <mergeCell ref="I125:K125"/>
    <mergeCell ref="M125:N125"/>
    <mergeCell ref="O125:P125"/>
    <mergeCell ref="B126:D126"/>
    <mergeCell ref="I126:K126"/>
    <mergeCell ref="M126:N126"/>
    <mergeCell ref="O126:P126"/>
    <mergeCell ref="B127:D127"/>
    <mergeCell ref="I127:K127"/>
    <mergeCell ref="M127:N127"/>
    <mergeCell ref="O127:P127"/>
  </mergeCells>
  <conditionalFormatting sqref="E90:E127">
    <cfRule type="dataBar" priority="2">
      <dataBar showValue="1" minLength="10" maxLength="90">
        <cfvo type="num" val="0"/>
        <cfvo type="max" val="0"/>
        <color rgb="FF9FC5D1"/>
      </dataBar>
      <extLst>
        <ext xmlns:x14="http://schemas.microsoft.com/office/spreadsheetml/2009/9/main" uri="{B025F937-C7B1-47D3-B67F-A62EFF666E3E}">
          <x14:id>{1F5180A1-E86E-445C-95FE-7E97D48F92E7}</x14:id>
        </ext>
      </extLst>
    </cfRule>
  </conditionalFormatting>
  <conditionalFormatting sqref="F90:F127">
    <cfRule type="dataBar" priority="3">
      <dataBar showValue="1" minLength="10" maxLength="90">
        <cfvo type="num" val="0"/>
        <cfvo type="max" val="0"/>
        <color rgb="FFF2C48D"/>
      </dataBar>
      <extLst>
        <ext xmlns:x14="http://schemas.microsoft.com/office/spreadsheetml/2009/9/main" uri="{B025F937-C7B1-47D3-B67F-A62EFF666E3E}">
          <x14:id>{E0819096-7749-47FF-B88F-553BB9FE8BFB}</x14:id>
        </ext>
      </extLst>
    </cfRule>
  </conditionalFormatting>
  <conditionalFormatting sqref="G90:G127">
    <cfRule type="dataBar" priority="4">
      <dataBar showValue="1" minLength="10" maxLength="90">
        <cfvo type="num" val="0"/>
        <cfvo type="max" val="0"/>
        <color rgb="FF9AD1A6"/>
      </dataBar>
      <extLst>
        <ext xmlns:x14="http://schemas.microsoft.com/office/spreadsheetml/2009/9/main" uri="{B025F937-C7B1-47D3-B67F-A62EFF666E3E}">
          <x14:id>{CA835EC1-AA35-4DC8-844A-A8C1708A3729}</x14:id>
        </ext>
      </extLst>
    </cfRule>
  </conditionalFormatting>
  <conditionalFormatting sqref="H90:H127">
    <cfRule type="dataBar" priority="5">
      <dataBar showValue="1" minLength="10" maxLength="90">
        <cfvo type="num" val="0"/>
        <cfvo type="max" val="0"/>
        <color rgb="FFC4B5E0"/>
      </dataBar>
      <extLst>
        <ext xmlns:x14="http://schemas.microsoft.com/office/spreadsheetml/2009/9/main" uri="{B025F937-C7B1-47D3-B67F-A62EFF666E3E}">
          <x14:id>{92C59E7C-E6DF-446C-BF44-D084F4CB7284}</x14:id>
        </ext>
      </extLst>
    </cfRule>
  </conditionalFormatting>
  <conditionalFormatting sqref="I90:K127">
    <cfRule type="expression" priority="6" aboveAverage="0" equalAverage="0" bottom="0" percent="0" rank="0" text="" dxfId="0">
      <formula>$I90="Propio / exclusivo"</formula>
    </cfRule>
    <cfRule type="expression" priority="7" aboveAverage="0" equalAverage="0" bottom="0" percent="0" rank="0" text="" dxfId="1">
      <formula>$I90="Libre o lista"</formula>
    </cfRule>
    <cfRule type="expression" priority="8" aboveAverage="0" equalAverage="0" bottom="0" percent="0" rank="0" text="" dxfId="2">
      <formula>$I90="Por consultar"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5180A1-E86E-445C-95FE-7E97D48F92E7}">
            <x14:dataBar minLength="10" maxLength="90" axisPosition="none" gradient="true">
              <x14:cfvo type="num">
                <xm:f>0</xm:f>
              </x14:cfvo>
              <x14:cfvo type="max"/>
              <x14:negativeFillColor rgb="FF9FC5D1"/>
              <x14:axisColor rgb="FF000000"/>
            </x14:dataBar>
          </x14:cfRule>
          <xm:sqref>E90:E127</xm:sqref>
        </x14:conditionalFormatting>
        <x14:conditionalFormatting xmlns:xm="http://schemas.microsoft.com/office/excel/2006/main">
          <x14:cfRule type="dataBar" id="{E0819096-7749-47FF-B88F-553BB9FE8BFB}">
            <x14:dataBar minLength="10" maxLength="90" axisPosition="none" gradient="true">
              <x14:cfvo type="num">
                <xm:f>0</xm:f>
              </x14:cfvo>
              <x14:cfvo type="max"/>
              <x14:negativeFillColor rgb="FFF2C48D"/>
              <x14:axisColor rgb="FF000000"/>
            </x14:dataBar>
          </x14:cfRule>
          <xm:sqref>F90:F127</xm:sqref>
        </x14:conditionalFormatting>
        <x14:conditionalFormatting xmlns:xm="http://schemas.microsoft.com/office/excel/2006/main">
          <x14:cfRule type="dataBar" id="{CA835EC1-AA35-4DC8-844A-A8C1708A3729}">
            <x14:dataBar minLength="10" maxLength="90" axisPosition="none" gradient="true">
              <x14:cfvo type="num">
                <xm:f>0</xm:f>
              </x14:cfvo>
              <x14:cfvo type="max"/>
              <x14:negativeFillColor rgb="FF9AD1A6"/>
              <x14:axisColor rgb="FF000000"/>
            </x14:dataBar>
          </x14:cfRule>
          <xm:sqref>G90:G127</xm:sqref>
        </x14:conditionalFormatting>
        <x14:conditionalFormatting xmlns:xm="http://schemas.microsoft.com/office/excel/2006/main">
          <x14:cfRule type="dataBar" id="{92C59E7C-E6DF-446C-BF44-D084F4CB7284}">
            <x14:dataBar minLength="10" maxLength="90" axisPosition="none" gradient="true">
              <x14:cfvo type="num">
                <xm:f>0</xm:f>
              </x14:cfvo>
              <x14:cfvo type="max"/>
              <x14:negativeFillColor rgb="FFC4B5E0"/>
              <x14:axisColor rgb="FF000000"/>
            </x14:dataBar>
          </x14:cfRule>
          <xm:sqref>H90:H127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6BB0"/>
    <pageSetUpPr fitToPage="false"/>
  </sheetPr>
  <dimension ref="A1:U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false" outlineLevel="0" max="15" min="15" style="0" width="3"/>
    <col collapsed="false" customWidth="true" hidden="false" outlineLevel="0" max="24" min="16" style="0" width="16"/>
  </cols>
  <sheetData>
    <row r="1" customFormat="false" ht="21.75" hidden="false" customHeight="true" outlineLevel="0" collapsed="false">
      <c r="A1" s="1"/>
      <c r="B1" s="2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customFormat="false" ht="21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6.5" hidden="false" customHeight="true" outlineLevel="0" collapsed="false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P3" s="29" t="s">
        <v>28</v>
      </c>
    </row>
    <row r="4" customFormat="false" ht="16.5" hidden="false" customHeight="true" outlineLevel="0" collapsed="false">
      <c r="P4" s="14" t="s">
        <v>29</v>
      </c>
      <c r="Q4" s="30" t="n">
        <f aca="false">IF(INDEX('Fincas 20 km'!$I$2:$I$39,$K$5)="","",INDEX('Fincas 20 km'!$I$2:$I$39,$K$5))</f>
        <v>76</v>
      </c>
    </row>
    <row r="5" customFormat="false" ht="27.75" hidden="false" customHeight="true" outlineLevel="0" collapsed="false">
      <c r="B5" s="31" t="s">
        <v>30</v>
      </c>
      <c r="C5" s="31"/>
      <c r="D5" s="32" t="s">
        <v>31</v>
      </c>
      <c r="E5" s="32"/>
      <c r="F5" s="32"/>
      <c r="G5" s="32"/>
      <c r="H5" s="32"/>
      <c r="I5" s="32"/>
      <c r="J5" s="33" t="s">
        <v>32</v>
      </c>
      <c r="K5" s="34" t="n">
        <f aca="false">MATCH($D$5,'Fincas 20 km'!$B$2:$B$39,0)</f>
        <v>1</v>
      </c>
      <c r="P5" s="14" t="s">
        <v>33</v>
      </c>
      <c r="Q5" s="14" t="str">
        <f aca="false">IF(INDEX('Fincas 20 km'!$K$2:$K$39,$K$5)="","",INDEX('Fincas 20 km'!$K$2:$K$39,$K$5))</f>
        <v/>
      </c>
    </row>
    <row r="6" customFormat="false" ht="16.5" hidden="false" customHeight="true" outlineLevel="0" collapsed="false">
      <c r="P6" s="14" t="s">
        <v>16</v>
      </c>
      <c r="Q6" s="14" t="str">
        <f aca="false">IF(INDEX('Fincas 20 km'!$L$2:$L$39,$K$5)="","",INDEX('Fincas 20 km'!$L$2:$L$39,$K$5))</f>
        <v/>
      </c>
    </row>
    <row r="7" customFormat="false" ht="16.5" hidden="false" customHeight="true" outlineLevel="0" collapsed="false">
      <c r="B7" s="35" t="s">
        <v>34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P7" s="14" t="s">
        <v>35</v>
      </c>
      <c r="Q7" s="36" t="n">
        <f aca="false">INDEX('Fincas 20 km'!$F$2:$F$39,$K$5)</f>
        <v>1.3</v>
      </c>
    </row>
    <row r="8" customFormat="false" ht="16.5" hidden="false" customHeight="true" outlineLevel="0" collapsed="false">
      <c r="B8" s="37" t="s">
        <v>36</v>
      </c>
      <c r="C8" s="37"/>
      <c r="D8" s="37"/>
      <c r="E8" s="37"/>
      <c r="F8" s="38" t="n">
        <v>120</v>
      </c>
      <c r="H8" s="37" t="s">
        <v>37</v>
      </c>
      <c r="I8" s="37"/>
      <c r="J8" s="37"/>
      <c r="K8" s="37"/>
      <c r="L8" s="38" t="n">
        <v>10</v>
      </c>
      <c r="P8" s="14" t="s">
        <v>38</v>
      </c>
      <c r="Q8" s="30" t="n">
        <f aca="false">IF(ISNUMBER($F$9),$F$9,$Q$4)</f>
        <v>76</v>
      </c>
    </row>
    <row r="9" customFormat="false" ht="16.5" hidden="false" customHeight="true" outlineLevel="0" collapsed="false">
      <c r="B9" s="37" t="s">
        <v>39</v>
      </c>
      <c r="C9" s="37"/>
      <c r="D9" s="37"/>
      <c r="E9" s="37"/>
      <c r="F9" s="39"/>
      <c r="H9" s="37" t="s">
        <v>40</v>
      </c>
      <c r="I9" s="37"/>
      <c r="J9" s="37"/>
      <c r="K9" s="37"/>
      <c r="L9" s="40" t="n">
        <v>1.3</v>
      </c>
      <c r="P9" s="14" t="s">
        <v>36</v>
      </c>
      <c r="Q9" s="41" t="n">
        <f aca="false">$F$8</f>
        <v>120</v>
      </c>
    </row>
    <row r="10" customFormat="false" ht="16.5" hidden="false" customHeight="true" outlineLevel="0" collapsed="false">
      <c r="B10" s="37" t="s">
        <v>41</v>
      </c>
      <c r="C10" s="37"/>
      <c r="D10" s="37"/>
      <c r="E10" s="37"/>
      <c r="F10" s="39" t="n">
        <v>0</v>
      </c>
      <c r="H10" s="37" t="s">
        <v>42</v>
      </c>
      <c r="I10" s="37"/>
      <c r="J10" s="37"/>
      <c r="K10" s="37"/>
      <c r="L10" s="38" t="n">
        <v>40</v>
      </c>
      <c r="P10" s="14" t="s">
        <v>43</v>
      </c>
      <c r="Q10" s="14" t="n">
        <f aca="false">ROUND($Q$7*$L$9/$L$10*60,0)</f>
        <v>3</v>
      </c>
    </row>
    <row r="11" customFormat="false" ht="16.5" hidden="false" customHeight="true" outlineLevel="0" collapsed="false">
      <c r="B11" s="37" t="s">
        <v>44</v>
      </c>
      <c r="C11" s="37"/>
      <c r="D11" s="37"/>
      <c r="E11" s="37"/>
      <c r="F11" s="39" t="n">
        <v>0</v>
      </c>
      <c r="P11" s="14" t="s">
        <v>45</v>
      </c>
      <c r="Q11" s="30" t="n">
        <f aca="false">IF(ISNUMBER($Q$8),$Q$8,NA())</f>
        <v>76</v>
      </c>
    </row>
    <row r="12" customFormat="false" ht="16.5" hidden="false" customHeight="true" outlineLevel="0" collapsed="false">
      <c r="P12" s="29" t="s">
        <v>46</v>
      </c>
      <c r="Q12" s="29" t="s">
        <v>47</v>
      </c>
      <c r="R12" s="29" t="s">
        <v>15</v>
      </c>
      <c r="T12" s="29" t="s">
        <v>48</v>
      </c>
      <c r="U12" s="29" t="s">
        <v>49</v>
      </c>
    </row>
    <row r="13" customFormat="false" ht="16.5" hidden="false" customHeight="true" outlineLevel="0" collapsed="false">
      <c r="B13" s="42" t="s">
        <v>50</v>
      </c>
      <c r="C13" s="42"/>
      <c r="D13" s="42"/>
      <c r="E13" s="42" t="s">
        <v>51</v>
      </c>
      <c r="F13" s="42"/>
      <c r="G13" s="42"/>
      <c r="H13" s="42" t="s">
        <v>52</v>
      </c>
      <c r="I13" s="42"/>
      <c r="J13" s="42"/>
      <c r="K13" s="42" t="s">
        <v>53</v>
      </c>
      <c r="L13" s="42"/>
      <c r="M13" s="42"/>
      <c r="P13" s="14" t="str">
        <f aca="false">'Fincas 20 km'!B2</f>
        <v>El Jardín de Ventas</v>
      </c>
      <c r="Q13" s="14" t="n">
        <f aca="false">ROUND('Fincas 20 km'!F2*$L$9/$L$10*60,0)</f>
        <v>3</v>
      </c>
      <c r="R13" s="30" t="n">
        <f aca="false">IF('Fincas 20 km'!I2="",NA(),'Fincas 20 km'!I2)</f>
        <v>76</v>
      </c>
      <c r="S13" s="14"/>
      <c r="T13" s="43" t="n">
        <f aca="false">IF($P13=$D$5,0,IF(ISNUMBER(R13),(IF(AND($P13=$D$5,ISNUMBER($F$9)),$F$9,R13)*$F$8+$F$8*$F$10+$F$11)*(1+$L$8/100),0))</f>
        <v>0</v>
      </c>
      <c r="U13" s="43" t="n">
        <f aca="false">IF($P13=$D$5,IF(ISNUMBER(R13),(IF(AND($P13=$D$5,ISNUMBER($F$9)),$F$9,R13)*$F$8+$F$8*$F$10+$F$11)*(1+$L$8/100),0),0)</f>
        <v>10032</v>
      </c>
    </row>
    <row r="14" customFormat="false" ht="16.5" hidden="false" customHeight="true" outlineLevel="0" collapsed="false">
      <c r="B14" s="44" t="n">
        <f aca="false">IF(ISNUMBER($F$22),$F$22,"—")</f>
        <v>10032</v>
      </c>
      <c r="C14" s="44"/>
      <c r="D14" s="44"/>
      <c r="E14" s="44" t="n">
        <f aca="false">IF(ISNUMBER($F$22),$F$22/$F$8,"—")</f>
        <v>83.6</v>
      </c>
      <c r="F14" s="44"/>
      <c r="G14" s="44"/>
      <c r="H14" s="45" t="n">
        <f aca="false">ROUND($Q$7*$L$9/$L$10*60,0)</f>
        <v>3</v>
      </c>
      <c r="I14" s="45"/>
      <c r="J14" s="45"/>
      <c r="K14" s="46" t="n">
        <f aca="false">$Q$7</f>
        <v>1.3</v>
      </c>
      <c r="L14" s="46"/>
      <c r="M14" s="46"/>
      <c r="P14" s="14" t="str">
        <f aca="false">'Fincas 20 km'!B3</f>
        <v>Real Fábrica de Tapices &amp; El Puchero de Plata</v>
      </c>
      <c r="Q14" s="14" t="n">
        <f aca="false">ROUND('Fincas 20 km'!F3*$L$9/$L$10*60,0)</f>
        <v>5</v>
      </c>
      <c r="R14" s="30" t="n">
        <f aca="false">IF('Fincas 20 km'!I3="",NA(),'Fincas 20 km'!I3)</f>
        <v>138</v>
      </c>
      <c r="S14" s="14"/>
      <c r="T14" s="43" t="n">
        <f aca="false">IF($P14=$D$5,0,IF(ISNUMBER(R14),(IF(AND($P14=$D$5,ISNUMBER($F$9)),$F$9,R14)*$F$8+$F$8*$F$10+$F$11)*(1+$L$8/100),0))</f>
        <v>18216</v>
      </c>
      <c r="U14" s="43" t="n">
        <f aca="false">IF($P14=$D$5,IF(ISNUMBER(R14),(IF(AND($P14=$D$5,ISNUMBER($F$9)),$F$9,R14)*$F$8+$F$8*$F$10+$F$11)*(1+$L$8/100),0),0)</f>
        <v>0</v>
      </c>
    </row>
    <row r="15" customFormat="false" ht="16.5" hidden="false" customHeight="true" outlineLevel="0" collapsed="false">
      <c r="B15" s="44"/>
      <c r="C15" s="44"/>
      <c r="D15" s="44"/>
      <c r="E15" s="44"/>
      <c r="F15" s="44"/>
      <c r="G15" s="44"/>
      <c r="H15" s="45"/>
      <c r="I15" s="45"/>
      <c r="J15" s="45"/>
      <c r="K15" s="46"/>
      <c r="L15" s="46"/>
      <c r="M15" s="46"/>
      <c r="P15" s="14" t="str">
        <f aca="false">'Fincas 20 km'!B4</f>
        <v>La Quinta by Madrid Catering</v>
      </c>
      <c r="Q15" s="14" t="n">
        <f aca="false">ROUND('Fincas 20 km'!F4*$L$9/$L$10*60,0)</f>
        <v>8</v>
      </c>
      <c r="R15" s="14" t="e">
        <f aca="false">IF('Fincas 20 km'!I4="",NA(),'Fincas 20 km'!I4)</f>
        <v>#N/A</v>
      </c>
      <c r="S15" s="14"/>
      <c r="T15" s="43" t="n">
        <f aca="false">IF($P15=$D$5,0,IF(ISNUMBER(R15),(IF(AND($P15=$D$5,ISNUMBER($F$9)),$F$9,R15)*$F$8+$F$8*$F$10+$F$11)*(1+$L$8/100),0))</f>
        <v>0</v>
      </c>
      <c r="U15" s="43" t="n">
        <f aca="false">IF($P15=$D$5,IF(ISNUMBER(R15),(IF(AND($P15=$D$5,ISNUMBER($F$9)),$F$9,R15)*$F$8+$F$8*$F$10+$F$11)*(1+$L$8/100),0),0)</f>
        <v>0</v>
      </c>
    </row>
    <row r="16" customFormat="false" ht="16.5" hidden="false" customHeight="true" outlineLevel="0" collapsed="false">
      <c r="B16" s="47" t="str">
        <f aca="false">IF(ISNUMBER($F$22),$F$8&amp;" invitados × "&amp;TEXT($Q$8,"#,##0")&amp;" € + extras, fijos e IVA","Sin precio publicado: escribe el tuyo arriba")</f>
        <v>120 invitados × 76 € + extras, fijos e IVA</v>
      </c>
      <c r="C16" s="47"/>
      <c r="D16" s="47"/>
      <c r="E16" s="47" t="str">
        <f aca="false">"con IVA del "&amp;$L$8&amp;" %"</f>
        <v>con IVA del 10 %</v>
      </c>
      <c r="F16" s="47"/>
      <c r="G16" s="47"/>
      <c r="H16" s="47" t="str">
        <f aca="false">"a "&amp;$L$10&amp;" km/h, factor "&amp;TEXT($L$9,"0.0")</f>
        <v>a 40 km/h, factor 1.3</v>
      </c>
      <c r="I16" s="47"/>
      <c r="J16" s="47"/>
      <c r="K16" s="47" t="s">
        <v>54</v>
      </c>
      <c r="L16" s="47"/>
      <c r="M16" s="47"/>
      <c r="P16" s="14" t="str">
        <f aca="false">'Fincas 20 km'!B5</f>
        <v>Quinta de los Molinos by Elba</v>
      </c>
      <c r="Q16" s="14" t="n">
        <f aca="false">ROUND('Fincas 20 km'!F5*$L$9/$L$10*60,0)</f>
        <v>8</v>
      </c>
      <c r="R16" s="30" t="n">
        <f aca="false">IF('Fincas 20 km'!I5="",NA(),'Fincas 20 km'!I5)</f>
        <v>138</v>
      </c>
      <c r="S16" s="14"/>
      <c r="T16" s="43" t="n">
        <f aca="false">IF($P16=$D$5,0,IF(ISNUMBER(R16),(IF(AND($P16=$D$5,ISNUMBER($F$9)),$F$9,R16)*$F$8+$F$8*$F$10+$F$11)*(1+$L$8/100),0))</f>
        <v>18216</v>
      </c>
      <c r="U16" s="43" t="n">
        <f aca="false">IF($P16=$D$5,IF(ISNUMBER(R16),(IF(AND($P16=$D$5,ISNUMBER($F$9)),$F$9,R16)*$F$8+$F$8*$F$10+$F$11)*(1+$L$8/100),0),0)</f>
        <v>0</v>
      </c>
    </row>
    <row r="17" customFormat="false" ht="16.5" hidden="false" customHeight="true" outlineLevel="0" collapsed="false">
      <c r="P17" s="14" t="str">
        <f aca="false">'Fincas 20 km'!B6</f>
        <v>Palacete / Complejo Duques de Pastrana</v>
      </c>
      <c r="Q17" s="14" t="n">
        <f aca="false">ROUND('Fincas 20 km'!F6*$L$9/$L$10*60,0)</f>
        <v>9</v>
      </c>
      <c r="R17" s="14" t="e">
        <f aca="false">IF('Fincas 20 km'!I6="",NA(),'Fincas 20 km'!I6)</f>
        <v>#N/A</v>
      </c>
      <c r="S17" s="14"/>
      <c r="T17" s="43" t="n">
        <f aca="false">IF($P17=$D$5,0,IF(ISNUMBER(R17),(IF(AND($P17=$D$5,ISNUMBER($F$9)),$F$9,R17)*$F$8+$F$8*$F$10+$F$11)*(1+$L$8/100),0))</f>
        <v>0</v>
      </c>
      <c r="U17" s="43" t="n">
        <f aca="false">IF($P17=$D$5,IF(ISNUMBER(R17),(IF(AND($P17=$D$5,ISNUMBER($F$9)),$F$9,R17)*$F$8+$F$8*$F$10+$F$11)*(1+$L$8/100),0),0)</f>
        <v>0</v>
      </c>
    </row>
    <row r="18" customFormat="false" ht="16.5" hidden="false" customHeight="true" outlineLevel="0" collapsed="false">
      <c r="B18" s="35" t="s">
        <v>55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P18" s="14" t="str">
        <f aca="false">'Fincas 20 km'!B7</f>
        <v>Café de Oriente Museo del Traje</v>
      </c>
      <c r="Q18" s="14" t="n">
        <f aca="false">ROUND('Fincas 20 km'!F7*$L$9/$L$10*60,0)</f>
        <v>9</v>
      </c>
      <c r="R18" s="30" t="n">
        <f aca="false">IF('Fincas 20 km'!I7="",NA(),'Fincas 20 km'!I7)</f>
        <v>140</v>
      </c>
      <c r="S18" s="14"/>
      <c r="T18" s="43" t="n">
        <f aca="false">IF($P18=$D$5,0,IF(ISNUMBER(R18),(IF(AND($P18=$D$5,ISNUMBER($F$9)),$F$9,R18)*$F$8+$F$8*$F$10+$F$11)*(1+$L$8/100),0))</f>
        <v>18480</v>
      </c>
      <c r="U18" s="43" t="n">
        <f aca="false">IF($P18=$D$5,IF(ISNUMBER(R18),(IF(AND($P18=$D$5,ISNUMBER($F$9)),$F$9,R18)*$F$8+$F$8*$F$10+$F$11)*(1+$L$8/100),0),0)</f>
        <v>0</v>
      </c>
    </row>
    <row r="19" customFormat="false" ht="16.5" hidden="false" customHeight="true" outlineLevel="0" collapsed="false">
      <c r="B19" s="48" t="s">
        <v>56</v>
      </c>
      <c r="C19" s="48"/>
      <c r="D19" s="48"/>
      <c r="E19" s="48"/>
      <c r="F19" s="49" t="n">
        <f aca="false">IF(ISNUMBER($Q$8),$F$8*$Q$8,"")</f>
        <v>9120</v>
      </c>
      <c r="G19" s="50" t="n">
        <f aca="false">IF(ISNUMBER($F$22),F19/$F$22,"")</f>
        <v>0.909090909090909</v>
      </c>
      <c r="P19" s="14" t="str">
        <f aca="false">'Fincas 20 km'!B8</f>
        <v>Casa de Burgos</v>
      </c>
      <c r="Q19" s="14" t="n">
        <f aca="false">ROUND('Fincas 20 km'!F8*$L$9/$L$10*60,0)</f>
        <v>10</v>
      </c>
      <c r="R19" s="30" t="n">
        <f aca="false">IF('Fincas 20 km'!I8="",NA(),'Fincas 20 km'!I8)</f>
        <v>100</v>
      </c>
      <c r="S19" s="14"/>
      <c r="T19" s="43" t="n">
        <f aca="false">IF($P19=$D$5,0,IF(ISNUMBER(R19),(IF(AND($P19=$D$5,ISNUMBER($F$9)),$F$9,R19)*$F$8+$F$8*$F$10+$F$11)*(1+$L$8/100),0))</f>
        <v>13200</v>
      </c>
      <c r="U19" s="43" t="n">
        <f aca="false">IF($P19=$D$5,IF(ISNUMBER(R19),(IF(AND($P19=$D$5,ISNUMBER($F$9)),$F$9,R19)*$F$8+$F$8*$F$10+$F$11)*(1+$L$8/100),0),0)</f>
        <v>0</v>
      </c>
    </row>
    <row r="20" customFormat="false" ht="16.5" hidden="false" customHeight="true" outlineLevel="0" collapsed="false">
      <c r="B20" s="48" t="s">
        <v>57</v>
      </c>
      <c r="C20" s="48"/>
      <c r="D20" s="48"/>
      <c r="E20" s="48"/>
      <c r="F20" s="49" t="n">
        <f aca="false">IF(ISNUMBER($Q$8),$F$8*$F$10,"")</f>
        <v>0</v>
      </c>
      <c r="G20" s="50" t="n">
        <f aca="false">IF(ISNUMBER($F$22),F20/$F$22,"")</f>
        <v>0</v>
      </c>
      <c r="P20" s="14" t="str">
        <f aca="false">'Fincas 20 km'!B9</f>
        <v>La Masía de José Luis</v>
      </c>
      <c r="Q20" s="14" t="n">
        <f aca="false">ROUND('Fincas 20 km'!F9*$L$9/$L$10*60,0)</f>
        <v>10</v>
      </c>
      <c r="R20" s="30" t="n">
        <f aca="false">IF('Fincas 20 km'!I9="",NA(),'Fincas 20 km'!I9)</f>
        <v>140</v>
      </c>
      <c r="S20" s="14"/>
      <c r="T20" s="43" t="n">
        <f aca="false">IF($P20=$D$5,0,IF(ISNUMBER(R20),(IF(AND($P20=$D$5,ISNUMBER($F$9)),$F$9,R20)*$F$8+$F$8*$F$10+$F$11)*(1+$L$8/100),0))</f>
        <v>18480</v>
      </c>
      <c r="U20" s="43" t="n">
        <f aca="false">IF($P20=$D$5,IF(ISNUMBER(R20),(IF(AND($P20=$D$5,ISNUMBER($F$9)),$F$9,R20)*$F$8+$F$8*$F$10+$F$11)*(1+$L$8/100),0),0)</f>
        <v>0</v>
      </c>
    </row>
    <row r="21" customFormat="false" ht="16.5" hidden="false" customHeight="true" outlineLevel="0" collapsed="false">
      <c r="B21" s="48" t="s">
        <v>58</v>
      </c>
      <c r="C21" s="48"/>
      <c r="D21" s="48"/>
      <c r="E21" s="48"/>
      <c r="F21" s="49" t="n">
        <f aca="false">IF(ISNUMBER($Q$8),$F$11,"")</f>
        <v>0</v>
      </c>
      <c r="G21" s="50" t="n">
        <f aca="false">IF(ISNUMBER($F$22),F21/$F$22,"")</f>
        <v>0</v>
      </c>
      <c r="P21" s="14" t="str">
        <f aca="false">'Fincas 20 km'!B10</f>
        <v>Club de Campo Villa de Madrid</v>
      </c>
      <c r="Q21" s="14" t="n">
        <f aca="false">ROUND('Fincas 20 km'!F10*$L$9/$L$10*60,0)</f>
        <v>11</v>
      </c>
      <c r="R21" s="14" t="e">
        <f aca="false">IF('Fincas 20 km'!I10="",NA(),'Fincas 20 km'!I10)</f>
        <v>#N/A</v>
      </c>
      <c r="S21" s="14"/>
      <c r="T21" s="43" t="n">
        <f aca="false">IF($P21=$D$5,0,IF(ISNUMBER(R21),(IF(AND($P21=$D$5,ISNUMBER($F$9)),$F$9,R21)*$F$8+$F$8*$F$10+$F$11)*(1+$L$8/100),0))</f>
        <v>0</v>
      </c>
      <c r="U21" s="43" t="n">
        <f aca="false">IF($P21=$D$5,IF(ISNUMBER(R21),(IF(AND($P21=$D$5,ISNUMBER($F$9)),$F$9,R21)*$F$8+$F$8*$F$10+$F$11)*(1+$L$8/100),0),0)</f>
        <v>0</v>
      </c>
    </row>
    <row r="22" customFormat="false" ht="16.5" hidden="false" customHeight="true" outlineLevel="0" collapsed="false">
      <c r="B22" s="51" t="s">
        <v>59</v>
      </c>
      <c r="C22" s="51"/>
      <c r="D22" s="51"/>
      <c r="E22" s="51"/>
      <c r="F22" s="52" t="n">
        <f aca="false">IF(ISNUMBER($Q$8),SUM($F$19:$F$21)+$F$23,"")</f>
        <v>10032</v>
      </c>
      <c r="G22" s="50" t="n">
        <f aca="false">IF(ISNUMBER($F$22),F22/$F$22,"")</f>
        <v>1</v>
      </c>
      <c r="P22" s="14" t="str">
        <f aca="false">'Fincas 20 km'!B11</f>
        <v>Mirador del Olivar</v>
      </c>
      <c r="Q22" s="14" t="n">
        <f aca="false">ROUND('Fincas 20 km'!F11*$L$9/$L$10*60,0)</f>
        <v>14</v>
      </c>
      <c r="R22" s="30" t="n">
        <f aca="false">IF('Fincas 20 km'!I11="",NA(),'Fincas 20 km'!I11)</f>
        <v>99</v>
      </c>
      <c r="S22" s="14"/>
      <c r="T22" s="43" t="n">
        <f aca="false">IF($P22=$D$5,0,IF(ISNUMBER(R22),(IF(AND($P22=$D$5,ISNUMBER($F$9)),$F$9,R22)*$F$8+$F$8*$F$10+$F$11)*(1+$L$8/100),0))</f>
        <v>13068</v>
      </c>
      <c r="U22" s="43" t="n">
        <f aca="false">IF($P22=$D$5,IF(ISNUMBER(R22),(IF(AND($P22=$D$5,ISNUMBER($F$9)),$F$9,R22)*$F$8+$F$8*$F$10+$F$11)*(1+$L$8/100),0),0)</f>
        <v>0</v>
      </c>
    </row>
    <row r="23" customFormat="false" ht="16.5" hidden="false" customHeight="true" outlineLevel="0" collapsed="false">
      <c r="B23" s="48" t="s">
        <v>60</v>
      </c>
      <c r="C23" s="48"/>
      <c r="D23" s="48"/>
      <c r="E23" s="48"/>
      <c r="F23" s="49" t="n">
        <f aca="false">IF(ISNUMBER($Q$8),SUM($F$19:$F$21)*$L$8/100,"")</f>
        <v>912</v>
      </c>
      <c r="G23" s="50" t="n">
        <f aca="false">IF(ISNUMBER($F$22),F23/$F$22,"")</f>
        <v>0.0909090909090909</v>
      </c>
      <c r="P23" s="14" t="str">
        <f aca="false">'Fincas 20 km'!B12</f>
        <v>Club de Tiro de Madrid</v>
      </c>
      <c r="Q23" s="14" t="n">
        <f aca="false">ROUND('Fincas 20 km'!F12*$L$9/$L$10*60,0)</f>
        <v>17</v>
      </c>
      <c r="R23" s="30" t="n">
        <f aca="false">IF('Fincas 20 km'!I12="",NA(),'Fincas 20 km'!I12)</f>
        <v>130</v>
      </c>
      <c r="S23" s="14"/>
      <c r="T23" s="43" t="n">
        <f aca="false">IF($P23=$D$5,0,IF(ISNUMBER(R23),(IF(AND($P23=$D$5,ISNUMBER($F$9)),$F$9,R23)*$F$8+$F$8*$F$10+$F$11)*(1+$L$8/100),0))</f>
        <v>17160</v>
      </c>
      <c r="U23" s="43" t="n">
        <f aca="false">IF($P23=$D$5,IF(ISNUMBER(R23),(IF(AND($P23=$D$5,ISNUMBER($F$9)),$F$9,R23)*$F$8+$F$8*$F$10+$F$11)*(1+$L$8/100),0),0)</f>
        <v>0</v>
      </c>
    </row>
    <row r="24" customFormat="false" ht="16.5" hidden="false" customHeight="true" outlineLevel="0" collapsed="false">
      <c r="P24" s="14" t="str">
        <f aca="false">'Fincas 20 km'!B13</f>
        <v>Fuentearcos</v>
      </c>
      <c r="Q24" s="14" t="n">
        <f aca="false">ROUND('Fincas 20 km'!F13*$L$9/$L$10*60,0)</f>
        <v>19</v>
      </c>
      <c r="R24" s="30" t="n">
        <f aca="false">IF('Fincas 20 km'!I13="",NA(),'Fincas 20 km'!I13)</f>
        <v>120</v>
      </c>
      <c r="S24" s="14"/>
      <c r="T24" s="43" t="n">
        <f aca="false">IF($P24=$D$5,0,IF(ISNUMBER(R24),(IF(AND($P24=$D$5,ISNUMBER($F$9)),$F$9,R24)*$F$8+$F$8*$F$10+$F$11)*(1+$L$8/100),0))</f>
        <v>15840</v>
      </c>
      <c r="U24" s="43" t="n">
        <f aca="false">IF($P24=$D$5,IF(ISNUMBER(R24),(IF(AND($P24=$D$5,ISNUMBER($F$9)),$F$9,R24)*$F$8+$F$8*$F$10+$F$11)*(1+$L$8/100),0),0)</f>
        <v>0</v>
      </c>
    </row>
    <row r="25" customFormat="false" ht="16.5" hidden="false" customHeight="true" outlineLevel="0" collapsed="false">
      <c r="B25" s="53" t="str">
        <f aca="false">IF(NOT(ISNUMBER($Q$8)),"⚠ Esta finca no publica precio: escribe tu estimación en «Precio por invitado».","")</f>
        <v/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P25" s="14" t="str">
        <f aca="false">'Fincas 20 km'!B14</f>
        <v>Finca Solimpar</v>
      </c>
      <c r="Q25" s="14" t="n">
        <f aca="false">ROUND('Fincas 20 km'!F14*$L$9/$L$10*60,0)</f>
        <v>19</v>
      </c>
      <c r="R25" s="30" t="n">
        <f aca="false">IF('Fincas 20 km'!I14="",NA(),'Fincas 20 km'!I14)</f>
        <v>90</v>
      </c>
      <c r="S25" s="14"/>
      <c r="T25" s="43" t="n">
        <f aca="false">IF($P25=$D$5,0,IF(ISNUMBER(R25),(IF(AND($P25=$D$5,ISNUMBER($F$9)),$F$9,R25)*$F$8+$F$8*$F$10+$F$11)*(1+$L$8/100),0))</f>
        <v>11880</v>
      </c>
      <c r="U25" s="43" t="n">
        <f aca="false">IF($P25=$D$5,IF(ISNUMBER(R25),(IF(AND($P25=$D$5,ISNUMBER($F$9)),$F$9,R25)*$F$8+$F$8*$F$10+$F$11)*(1+$L$8/100),0),0)</f>
        <v>0</v>
      </c>
    </row>
    <row r="26" customFormat="false" ht="16.5" hidden="false" customHeight="true" outlineLevel="0" collapsed="false">
      <c r="B26" s="53" t="str">
        <f aca="false">IF(AND(ISNUMBER($Q$5),$F$8&lt;$Q$5),"⚠ Con "&amp;$F$8&amp;" invitados quedas por debajo del mínimo habitual ("&amp;$Q$5&amp;"): suelen cobrar la diferencia.","")</f>
        <v/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P26" s="14" t="str">
        <f aca="false">'Fincas 20 km'!B15</f>
        <v>El Jardín de Somontes (Eventos Somontes)</v>
      </c>
      <c r="Q26" s="14" t="n">
        <f aca="false">ROUND('Fincas 20 km'!F15*$L$9/$L$10*60,0)</f>
        <v>19</v>
      </c>
      <c r="R26" s="14" t="e">
        <f aca="false">IF('Fincas 20 km'!I15="",NA(),'Fincas 20 km'!I15)</f>
        <v>#N/A</v>
      </c>
      <c r="S26" s="14"/>
      <c r="T26" s="43" t="n">
        <f aca="false">IF($P26=$D$5,0,IF(ISNUMBER(R26),(IF(AND($P26=$D$5,ISNUMBER($F$9)),$F$9,R26)*$F$8+$F$8*$F$10+$F$11)*(1+$L$8/100),0))</f>
        <v>0</v>
      </c>
      <c r="U26" s="43" t="n">
        <f aca="false">IF($P26=$D$5,IF(ISNUMBER(R26),(IF(AND($P26=$D$5,ISNUMBER($F$9)),$F$9,R26)*$F$8+$F$8*$F$10+$F$11)*(1+$L$8/100),0),0)</f>
        <v>0</v>
      </c>
    </row>
    <row r="27" customFormat="false" ht="16.5" hidden="false" customHeight="true" outlineLevel="0" collapsed="false">
      <c r="B27" s="53" t="str">
        <f aca="false">IF(AND(ISNUMBER($Q$6),$F$8&gt;$Q$6),"⛔ Con "&amp;$F$8&amp;" invitados superas el aforo máximo publicado ("&amp;$Q$6&amp;").","")</f>
        <v/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P27" s="14" t="str">
        <f aca="false">'Fincas 20 km'!B16</f>
        <v>La Casa de Mónico</v>
      </c>
      <c r="Q27" s="14" t="n">
        <f aca="false">ROUND('Fincas 20 km'!F16*$L$9/$L$10*60,0)</f>
        <v>19</v>
      </c>
      <c r="R27" s="30" t="n">
        <f aca="false">IF('Fincas 20 km'!I16="",NA(),'Fincas 20 km'!I16)</f>
        <v>185</v>
      </c>
      <c r="S27" s="14"/>
      <c r="T27" s="43" t="n">
        <f aca="false">IF($P27=$D$5,0,IF(ISNUMBER(R27),(IF(AND($P27=$D$5,ISNUMBER($F$9)),$F$9,R27)*$F$8+$F$8*$F$10+$F$11)*(1+$L$8/100),0))</f>
        <v>24420</v>
      </c>
      <c r="U27" s="43" t="n">
        <f aca="false">IF($P27=$D$5,IF(ISNUMBER(R27),(IF(AND($P27=$D$5,ISNUMBER($F$9)),$F$9,R27)*$F$8+$F$8*$F$10+$F$11)*(1+$L$8/100),0),0)</f>
        <v>0</v>
      </c>
    </row>
    <row r="28" customFormat="false" ht="16.5" hidden="false" customHeight="true" outlineLevel="0" collapsed="false">
      <c r="B28" s="53" t="str">
        <f aca="false">IF(AND(ISNUMBER($Q$6),$F$8&lt;=$Q$6,OR(NOT(ISNUMBER($Q$5)),$F$8&gt;=$Q$5)),"✓ Tus invitados caben dentro del aforo publicado.","")</f>
        <v/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P28" s="14" t="str">
        <f aca="false">'Fincas 20 km'!B17</f>
        <v>Finca La Gaivota</v>
      </c>
      <c r="Q28" s="14" t="n">
        <f aca="false">ROUND('Fincas 20 km'!F17*$L$9/$L$10*60,0)</f>
        <v>19</v>
      </c>
      <c r="R28" s="14" t="e">
        <f aca="false">IF('Fincas 20 km'!I17="",NA(),'Fincas 20 km'!I17)</f>
        <v>#N/A</v>
      </c>
      <c r="S28" s="14"/>
      <c r="T28" s="43" t="n">
        <f aca="false">IF($P28=$D$5,0,IF(ISNUMBER(R28),(IF(AND($P28=$D$5,ISNUMBER($F$9)),$F$9,R28)*$F$8+$F$8*$F$10+$F$11)*(1+$L$8/100),0))</f>
        <v>0</v>
      </c>
      <c r="U28" s="43" t="n">
        <f aca="false">IF($P28=$D$5,IF(ISNUMBER(R28),(IF(AND($P28=$D$5,ISNUMBER($F$9)),$F$9,R28)*$F$8+$F$8*$F$10+$F$11)*(1+$L$8/100),0),0)</f>
        <v>0</v>
      </c>
    </row>
    <row r="29" customFormat="false" ht="16.5" hidden="false" customHeight="true" outlineLevel="0" collapsed="false">
      <c r="B29" s="53" t="str">
        <f aca="false">IF(ISNUMBER(SEARCH("mínim",INDEX('Fincas 20 km'!$H$2:$H$39,$K$5))),"⚠ El precio publicado menciona un mínimo de facturación: léelo completo en «Precio publicado».","")</f>
        <v>⚠ El precio publicado menciona un mínimo de facturación: léelo completo en «Precio publicado».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P29" s="14" t="str">
        <f aca="false">'Fincas 20 km'!B18</f>
        <v>Finca Astilbe (by Eneldo)</v>
      </c>
      <c r="Q29" s="14" t="n">
        <f aca="false">ROUND('Fincas 20 km'!F18*$L$9/$L$10*60,0)</f>
        <v>21</v>
      </c>
      <c r="R29" s="30" t="n">
        <f aca="false">IF('Fincas 20 km'!I18="",NA(),'Fincas 20 km'!I18)</f>
        <v>145</v>
      </c>
      <c r="S29" s="14"/>
      <c r="T29" s="43" t="n">
        <f aca="false">IF($P29=$D$5,0,IF(ISNUMBER(R29),(IF(AND($P29=$D$5,ISNUMBER($F$9)),$F$9,R29)*$F$8+$F$8*$F$10+$F$11)*(1+$L$8/100),0))</f>
        <v>19140</v>
      </c>
      <c r="U29" s="43" t="n">
        <f aca="false">IF($P29=$D$5,IF(ISNUMBER(R29),(IF(AND($P29=$D$5,ISNUMBER($F$9)),$F$9,R29)*$F$8+$F$8*$F$10+$F$11)*(1+$L$8/100),0),0)</f>
        <v>0</v>
      </c>
    </row>
    <row r="30" customFormat="false" ht="16.5" hidden="false" customHeight="true" outlineLevel="0" collapsed="false">
      <c r="P30" s="14" t="str">
        <f aca="false">'Fincas 20 km'!B19</f>
        <v>El Mirador de Cuatrovientos (incl. Finca Las Palmeras)</v>
      </c>
      <c r="Q30" s="14" t="n">
        <f aca="false">ROUND('Fincas 20 km'!F19*$L$9/$L$10*60,0)</f>
        <v>21</v>
      </c>
      <c r="R30" s="30" t="n">
        <f aca="false">IF('Fincas 20 km'!I19="",NA(),'Fincas 20 km'!I19)</f>
        <v>99</v>
      </c>
      <c r="S30" s="14"/>
      <c r="T30" s="43" t="n">
        <f aca="false">IF($P30=$D$5,0,IF(ISNUMBER(R30),(IF(AND($P30=$D$5,ISNUMBER($F$9)),$F$9,R30)*$F$8+$F$8*$F$10+$F$11)*(1+$L$8/100),0))</f>
        <v>13068</v>
      </c>
      <c r="U30" s="43" t="n">
        <f aca="false">IF($P30=$D$5,IF(ISNUMBER(R30),(IF(AND($P30=$D$5,ISNUMBER($F$9)),$F$9,R30)*$F$8+$F$8*$F$10+$F$11)*(1+$L$8/100),0),0)</f>
        <v>0</v>
      </c>
    </row>
    <row r="31" customFormat="false" ht="16.5" hidden="false" customHeight="true" outlineLevel="0" collapsed="false">
      <c r="B31" s="35" t="s">
        <v>61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P31" s="14" t="str">
        <f aca="false">'Fincas 20 km'!B20</f>
        <v>U-Zalacaín La Finca</v>
      </c>
      <c r="Q31" s="14" t="n">
        <f aca="false">ROUND('Fincas 20 km'!F20*$L$9/$L$10*60,0)</f>
        <v>21</v>
      </c>
      <c r="R31" s="30" t="n">
        <f aca="false">IF('Fincas 20 km'!I20="",NA(),'Fincas 20 km'!I20)</f>
        <v>135</v>
      </c>
      <c r="S31" s="14"/>
      <c r="T31" s="43" t="n">
        <f aca="false">IF($P31=$D$5,0,IF(ISNUMBER(R31),(IF(AND($P31=$D$5,ISNUMBER($F$9)),$F$9,R31)*$F$8+$F$8*$F$10+$F$11)*(1+$L$8/100),0))</f>
        <v>17820</v>
      </c>
      <c r="U31" s="43" t="n">
        <f aca="false">IF($P31=$D$5,IF(ISNUMBER(R31),(IF(AND($P31=$D$5,ISNUMBER($F$9)),$F$9,R31)*$F$8+$F$8*$F$10+$F$11)*(1+$L$8/100),0),0)</f>
        <v>0</v>
      </c>
    </row>
    <row r="32" customFormat="false" ht="16.5" hidden="false" customHeight="true" outlineLevel="0" collapsed="false">
      <c r="B32" s="54" t="s">
        <v>62</v>
      </c>
      <c r="C32" s="54"/>
      <c r="D32" s="54"/>
      <c r="E32" s="55" t="str">
        <f aca="false">IFERROR(IF(INDEX('Fincas 20 km'!$C$2:$C$39,$K$5)="","No consta",INDEX('Fincas 20 km'!$C$2:$C$39,$K$5)),"—")</f>
        <v>Jardín del hotel NH Madrid Ventas</v>
      </c>
      <c r="F32" s="55"/>
      <c r="G32" s="55"/>
      <c r="H32" s="55"/>
      <c r="I32" s="55"/>
      <c r="J32" s="55"/>
      <c r="K32" s="55"/>
      <c r="L32" s="55"/>
      <c r="M32" s="55"/>
      <c r="P32" s="14" t="str">
        <f aca="false">'Fincas 20 km'!B21</f>
        <v>Finca La Muñoza (La Cococha)</v>
      </c>
      <c r="Q32" s="14" t="n">
        <f aca="false">ROUND('Fincas 20 km'!F21*$L$9/$L$10*60,0)</f>
        <v>21</v>
      </c>
      <c r="R32" s="30" t="n">
        <f aca="false">IF('Fincas 20 km'!I21="",NA(),'Fincas 20 km'!I21)</f>
        <v>125</v>
      </c>
      <c r="S32" s="14"/>
      <c r="T32" s="43" t="n">
        <f aca="false">IF($P32=$D$5,0,IF(ISNUMBER(R32),(IF(AND($P32=$D$5,ISNUMBER($F$9)),$F$9,R32)*$F$8+$F$8*$F$10+$F$11)*(1+$L$8/100),0))</f>
        <v>16500</v>
      </c>
      <c r="U32" s="43" t="n">
        <f aca="false">IF($P32=$D$5,IF(ISNUMBER(R32),(IF(AND($P32=$D$5,ISNUMBER($F$9)),$F$9,R32)*$F$8+$F$8*$F$10+$F$11)*(1+$L$8/100),0),0)</f>
        <v>0</v>
      </c>
    </row>
    <row r="33" customFormat="false" ht="16.5" hidden="false" customHeight="true" outlineLevel="0" collapsed="false">
      <c r="B33" s="54" t="s">
        <v>63</v>
      </c>
      <c r="C33" s="54"/>
      <c r="D33" s="54"/>
      <c r="E33" s="55" t="str">
        <f aca="false">IFERROR(IF(INDEX('Fincas 20 km'!$D$2:$D$39,$K$5)="","No consta",INDEX('Fincas 20 km'!$D$2:$D$39,$K$5)),"—")</f>
        <v>Madrid – Ventas (Salamanca)</v>
      </c>
      <c r="F33" s="55"/>
      <c r="G33" s="55"/>
      <c r="H33" s="55"/>
      <c r="I33" s="55"/>
      <c r="J33" s="55"/>
      <c r="K33" s="55"/>
      <c r="L33" s="55"/>
      <c r="M33" s="55"/>
      <c r="P33" s="14" t="str">
        <f aca="false">'Fincas 20 km'!B22</f>
        <v>Real Club La Moraleja</v>
      </c>
      <c r="Q33" s="14" t="n">
        <f aca="false">ROUND('Fincas 20 km'!F22*$L$9/$L$10*60,0)</f>
        <v>22</v>
      </c>
      <c r="R33" s="14" t="e">
        <f aca="false">IF('Fincas 20 km'!I22="",NA(),'Fincas 20 km'!I22)</f>
        <v>#N/A</v>
      </c>
      <c r="S33" s="14"/>
      <c r="T33" s="43" t="n">
        <f aca="false">IF($P33=$D$5,0,IF(ISNUMBER(R33),(IF(AND($P33=$D$5,ISNUMBER($F$9)),$F$9,R33)*$F$8+$F$8*$F$10+$F$11)*(1+$L$8/100),0))</f>
        <v>0</v>
      </c>
      <c r="U33" s="43" t="n">
        <f aca="false">IF($P33=$D$5,IF(ISNUMBER(R33),(IF(AND($P33=$D$5,ISNUMBER($F$9)),$F$9,R33)*$F$8+$F$8*$F$10+$F$11)*(1+$L$8/100),0),0)</f>
        <v>0</v>
      </c>
    </row>
    <row r="34" customFormat="false" ht="16.5" hidden="false" customHeight="true" outlineLevel="0" collapsed="false">
      <c r="B34" s="54" t="s">
        <v>64</v>
      </c>
      <c r="C34" s="54"/>
      <c r="D34" s="54"/>
      <c r="E34" s="55" t="str">
        <f aca="false">IFERROR(IF(INDEX('Fincas 20 km'!$E$2:$E$39,$K$5)="","No consta",INDEX('Fincas 20 km'!$E$2:$E$39,$K$5)),"—")</f>
        <v>C/ de Biarritz 2, 28028 Madrid</v>
      </c>
      <c r="F34" s="55"/>
      <c r="G34" s="55"/>
      <c r="H34" s="55"/>
      <c r="I34" s="55"/>
      <c r="J34" s="55"/>
      <c r="K34" s="55"/>
      <c r="L34" s="55"/>
      <c r="M34" s="55"/>
      <c r="P34" s="14" t="str">
        <f aca="false">'Fincas 20 km'!B23</f>
        <v>Finca Petit Moraleja</v>
      </c>
      <c r="Q34" s="14" t="n">
        <f aca="false">ROUND('Fincas 20 km'!F23*$L$9/$L$10*60,0)</f>
        <v>24</v>
      </c>
      <c r="R34" s="14" t="e">
        <f aca="false">IF('Fincas 20 km'!I23="",NA(),'Fincas 20 km'!I23)</f>
        <v>#N/A</v>
      </c>
      <c r="S34" s="14"/>
      <c r="T34" s="43" t="n">
        <f aca="false">IF($P34=$D$5,0,IF(ISNUMBER(R34),(IF(AND($P34=$D$5,ISNUMBER($F$9)),$F$9,R34)*$F$8+$F$8*$F$10+$F$11)*(1+$L$8/100),0))</f>
        <v>0</v>
      </c>
      <c r="U34" s="43" t="n">
        <f aca="false">IF($P34=$D$5,IF(ISNUMBER(R34),(IF(AND($P34=$D$5,ISNUMBER($F$9)),$F$9,R34)*$F$8+$F$8*$F$10+$F$11)*(1+$L$8/100),0),0)</f>
        <v>0</v>
      </c>
    </row>
    <row r="35" customFormat="false" ht="16.5" hidden="false" customHeight="true" outlineLevel="0" collapsed="false">
      <c r="B35" s="54" t="s">
        <v>65</v>
      </c>
      <c r="C35" s="54"/>
      <c r="D35" s="54"/>
      <c r="E35" s="55" t="str">
        <f aca="false">IFERROR(IF(INDEX('Fincas 20 km'!$M$2:$M$39,$K$5)="","No consta",INDEX('Fincas 20 km'!$M$2:$M$39,$K$5)),"—")</f>
        <v>No publicado</v>
      </c>
      <c r="F35" s="55"/>
      <c r="G35" s="55"/>
      <c r="H35" s="55"/>
      <c r="I35" s="55"/>
      <c r="J35" s="55"/>
      <c r="K35" s="55"/>
      <c r="L35" s="55"/>
      <c r="M35" s="55"/>
      <c r="P35" s="14" t="str">
        <f aca="false">'Fincas 20 km'!B24</f>
        <v>El Jardín de la Florida</v>
      </c>
      <c r="Q35" s="14" t="n">
        <f aca="false">ROUND('Fincas 20 km'!F24*$L$9/$L$10*60,0)</f>
        <v>25</v>
      </c>
      <c r="R35" s="14" t="e">
        <f aca="false">IF('Fincas 20 km'!I24="",NA(),'Fincas 20 km'!I24)</f>
        <v>#N/A</v>
      </c>
      <c r="S35" s="14"/>
      <c r="T35" s="43" t="n">
        <f aca="false">IF($P35=$D$5,0,IF(ISNUMBER(R35),(IF(AND($P35=$D$5,ISNUMBER($F$9)),$F$9,R35)*$F$8+$F$8*$F$10+$F$11)*(1+$L$8/100),0))</f>
        <v>0</v>
      </c>
      <c r="U35" s="43" t="n">
        <f aca="false">IF($P35=$D$5,IF(ISNUMBER(R35),(IF(AND($P35=$D$5,ISNUMBER($F$9)),$F$9,R35)*$F$8+$F$8*$F$10+$F$11)*(1+$L$8/100),0),0)</f>
        <v>0</v>
      </c>
    </row>
    <row r="36" customFormat="false" ht="36" hidden="false" customHeight="true" outlineLevel="0" collapsed="false">
      <c r="B36" s="54" t="s">
        <v>66</v>
      </c>
      <c r="C36" s="54"/>
      <c r="D36" s="54"/>
      <c r="E36" s="55" t="str">
        <f aca="false">IFERROR(IF(INDEX('Fincas 20 km'!$N$2:$N$39,$K$5)="","No consta",INDEX('Fincas 20 km'!$N$2:$N$39,$K$5)),"—")</f>
        <v>Cocina del hotel NH Ventas</v>
      </c>
      <c r="F36" s="55"/>
      <c r="G36" s="55"/>
      <c r="H36" s="55"/>
      <c r="I36" s="55"/>
      <c r="J36" s="55"/>
      <c r="K36" s="55"/>
      <c r="L36" s="55"/>
      <c r="M36" s="55"/>
      <c r="P36" s="14" t="str">
        <f aca="false">'Fincas 20 km'!B25</f>
        <v>Initium (Artigot Catering)</v>
      </c>
      <c r="Q36" s="14" t="n">
        <f aca="false">ROUND('Fincas 20 km'!F25*$L$9/$L$10*60,0)</f>
        <v>25</v>
      </c>
      <c r="R36" s="30" t="n">
        <f aca="false">IF('Fincas 20 km'!I25="",NA(),'Fincas 20 km'!I25)</f>
        <v>150</v>
      </c>
      <c r="S36" s="14"/>
      <c r="T36" s="43" t="n">
        <f aca="false">IF($P36=$D$5,0,IF(ISNUMBER(R36),(IF(AND($P36=$D$5,ISNUMBER($F$9)),$F$9,R36)*$F$8+$F$8*$F$10+$F$11)*(1+$L$8/100),0))</f>
        <v>19800</v>
      </c>
      <c r="U36" s="43" t="n">
        <f aca="false">IF($P36=$D$5,IF(ISNUMBER(R36),(IF(AND($P36=$D$5,ISNUMBER($F$9)),$F$9,R36)*$F$8+$F$8*$F$10+$F$11)*(1+$L$8/100),0),0)</f>
        <v>0</v>
      </c>
    </row>
    <row r="37" customFormat="false" ht="36" hidden="false" customHeight="true" outlineLevel="0" collapsed="false">
      <c r="B37" s="54" t="s">
        <v>67</v>
      </c>
      <c r="C37" s="54"/>
      <c r="D37" s="54"/>
      <c r="E37" s="55" t="str">
        <f aca="false">IFERROR(IF(INDEX('Fincas 20 km'!$O$2:$O$39,$K$5)="","No consta",INDEX('Fincas 20 km'!$O$2:$O$39,$K$5)),"—")</f>
        <v>No (catering del hotel); tarta propia permitida</v>
      </c>
      <c r="F37" s="55"/>
      <c r="G37" s="55"/>
      <c r="H37" s="55"/>
      <c r="I37" s="55"/>
      <c r="J37" s="55"/>
      <c r="K37" s="55"/>
      <c r="L37" s="55"/>
      <c r="M37" s="55"/>
      <c r="P37" s="14" t="str">
        <f aca="false">'Fincas 20 km'!B26</f>
        <v>Finca El Chaparral</v>
      </c>
      <c r="Q37" s="14" t="n">
        <f aca="false">ROUND('Fincas 20 km'!F26*$L$9/$L$10*60,0)</f>
        <v>25</v>
      </c>
      <c r="R37" s="14" t="e">
        <f aca="false">IF('Fincas 20 km'!I26="",NA(),'Fincas 20 km'!I26)</f>
        <v>#N/A</v>
      </c>
      <c r="S37" s="14"/>
      <c r="T37" s="43" t="n">
        <f aca="false">IF($P37=$D$5,0,IF(ISNUMBER(R37),(IF(AND($P37=$D$5,ISNUMBER($F$9)),$F$9,R37)*$F$8+$F$8*$F$10+$F$11)*(1+$L$8/100),0))</f>
        <v>0</v>
      </c>
      <c r="U37" s="43" t="n">
        <f aca="false">IF($P37=$D$5,IF(ISNUMBER(R37),(IF(AND($P37=$D$5,ISNUMBER($F$9)),$F$9,R37)*$F$8+$F$8*$F$10+$F$11)*(1+$L$8/100),0),0)</f>
        <v>0</v>
      </c>
    </row>
    <row r="38" customFormat="false" ht="72" hidden="false" customHeight="true" outlineLevel="0" collapsed="false">
      <c r="B38" s="54" t="s">
        <v>68</v>
      </c>
      <c r="C38" s="54"/>
      <c r="D38" s="54"/>
      <c r="E38" s="55" t="str">
        <f aca="false">IFERROR(IF(INDEX('Fincas 20 km'!$P$2:$P$39,$K$5)="","No consta",INDEX('Fincas 20 km'!$P$2:$P$39,$K$5)),"—")</f>
        <v>Jardín (ceremonia civil y cóctel) + terraza reformada + salón del hotel; banquete también al aire libre</v>
      </c>
      <c r="F38" s="55"/>
      <c r="G38" s="55"/>
      <c r="H38" s="55"/>
      <c r="I38" s="55"/>
      <c r="J38" s="55"/>
      <c r="K38" s="55"/>
      <c r="L38" s="55"/>
      <c r="M38" s="55"/>
      <c r="P38" s="14" t="str">
        <f aca="false">'Fincas 20 km'!B27</f>
        <v>Torzares (finca La Escorzonera)</v>
      </c>
      <c r="Q38" s="14" t="n">
        <f aca="false">ROUND('Fincas 20 km'!F27*$L$9/$L$10*60,0)</f>
        <v>27</v>
      </c>
      <c r="R38" s="14" t="e">
        <f aca="false">IF('Fincas 20 km'!I27="",NA(),'Fincas 20 km'!I27)</f>
        <v>#N/A</v>
      </c>
      <c r="S38" s="14"/>
      <c r="T38" s="43" t="n">
        <f aca="false">IF($P38=$D$5,0,IF(ISNUMBER(R38),(IF(AND($P38=$D$5,ISNUMBER($F$9)),$F$9,R38)*$F$8+$F$8*$F$10+$F$11)*(1+$L$8/100),0))</f>
        <v>0</v>
      </c>
      <c r="U38" s="43" t="n">
        <f aca="false">IF($P38=$D$5,IF(ISNUMBER(R38),(IF(AND($P38=$D$5,ISNUMBER($F$9)),$F$9,R38)*$F$8+$F$8*$F$10+$F$11)*(1+$L$8/100),0),0)</f>
        <v>0</v>
      </c>
    </row>
    <row r="39" customFormat="false" ht="16.5" hidden="false" customHeight="true" outlineLevel="0" collapsed="false">
      <c r="B39" s="54" t="s">
        <v>69</v>
      </c>
      <c r="C39" s="54"/>
      <c r="D39" s="54"/>
      <c r="E39" s="55" t="str">
        <f aca="false">IFERROR(IF(INDEX('Fincas 20 km'!$Q$2:$Q$39,$K$5)="","No consta",INDEX('Fincas 20 km'!$Q$2:$Q$39,$K$5)),"—")</f>
        <v>Varios</v>
      </c>
      <c r="F39" s="55"/>
      <c r="G39" s="55"/>
      <c r="H39" s="55"/>
      <c r="I39" s="55"/>
      <c r="J39" s="55"/>
      <c r="K39" s="55"/>
      <c r="L39" s="55"/>
      <c r="M39" s="55"/>
      <c r="P39" s="14" t="str">
        <f aca="false">'Fincas 20 km'!B28</f>
        <v>Restaurante San Francisco (El Pardo)</v>
      </c>
      <c r="Q39" s="14" t="n">
        <f aca="false">ROUND('Fincas 20 km'!F28*$L$9/$L$10*60,0)</f>
        <v>27</v>
      </c>
      <c r="R39" s="14" t="e">
        <f aca="false">IF('Fincas 20 km'!I28="",NA(),'Fincas 20 km'!I28)</f>
        <v>#N/A</v>
      </c>
      <c r="S39" s="14"/>
      <c r="T39" s="43" t="n">
        <f aca="false">IF($P39=$D$5,0,IF(ISNUMBER(R39),(IF(AND($P39=$D$5,ISNUMBER($F$9)),$F$9,R39)*$F$8+$F$8*$F$10+$F$11)*(1+$L$8/100),0))</f>
        <v>0</v>
      </c>
      <c r="U39" s="43" t="n">
        <f aca="false">IF($P39=$D$5,IF(ISNUMBER(R39),(IF(AND($P39=$D$5,ISNUMBER($F$9)),$F$9,R39)*$F$8+$F$8*$F$10+$F$11)*(1+$L$8/100),0),0)</f>
        <v>0</v>
      </c>
    </row>
    <row r="40" customFormat="false" ht="16.5" hidden="false" customHeight="true" outlineLevel="0" collapsed="false">
      <c r="B40" s="54" t="s">
        <v>70</v>
      </c>
      <c r="C40" s="54"/>
      <c r="D40" s="54"/>
      <c r="E40" s="55" t="str">
        <f aca="false">IFERROR(IF(INDEX('Fincas 20 km'!$R$2:$R$39,$K$5)="","No consta",INDEX('Fincas 20 km'!$R$2:$R$39,$K$5)),"—")</f>
        <v>Sí (jardín y terraza recién reformada)</v>
      </c>
      <c r="F40" s="55"/>
      <c r="G40" s="55"/>
      <c r="H40" s="55"/>
      <c r="I40" s="55"/>
      <c r="J40" s="55"/>
      <c r="K40" s="55"/>
      <c r="L40" s="55"/>
      <c r="M40" s="55"/>
      <c r="P40" s="14" t="str">
        <f aca="false">'Fincas 20 km'!B29</f>
        <v>Palacio del Negralejo (Grupo Negralejo)</v>
      </c>
      <c r="Q40" s="14" t="n">
        <f aca="false">ROUND('Fincas 20 km'!F29*$L$9/$L$10*60,0)</f>
        <v>27</v>
      </c>
      <c r="R40" s="30" t="n">
        <f aca="false">IF('Fincas 20 km'!I29="",NA(),'Fincas 20 km'!I29)</f>
        <v>150</v>
      </c>
      <c r="S40" s="14"/>
      <c r="T40" s="43" t="n">
        <f aca="false">IF($P40=$D$5,0,IF(ISNUMBER(R40),(IF(AND($P40=$D$5,ISNUMBER($F$9)),$F$9,R40)*$F$8+$F$8*$F$10+$F$11)*(1+$L$8/100),0))</f>
        <v>19800</v>
      </c>
      <c r="U40" s="43" t="n">
        <f aca="false">IF($P40=$D$5,IF(ISNUMBER(R40),(IF(AND($P40=$D$5,ISNUMBER($F$9)),$F$9,R40)*$F$8+$F$8*$F$10+$F$11)*(1+$L$8/100),0),0)</f>
        <v>0</v>
      </c>
    </row>
    <row r="41" customFormat="false" ht="36" hidden="false" customHeight="true" outlineLevel="0" collapsed="false">
      <c r="B41" s="54" t="s">
        <v>71</v>
      </c>
      <c r="C41" s="54"/>
      <c r="D41" s="54"/>
      <c r="E41" s="55" t="str">
        <f aca="false">IFERROR(IF(INDEX('Fincas 20 km'!$S$2:$S$39,$K$5)="","No consta",INDEX('Fincas 20 km'!$S$2:$S$39,$K$5)),"—")</f>
        <v>Sí – habitaciones del hotel</v>
      </c>
      <c r="F41" s="55"/>
      <c r="G41" s="55"/>
      <c r="H41" s="55"/>
      <c r="I41" s="55"/>
      <c r="J41" s="55"/>
      <c r="K41" s="55"/>
      <c r="L41" s="55"/>
      <c r="M41" s="55"/>
      <c r="P41" s="14" t="str">
        <f aca="false">'Fincas 20 km'!B30</f>
        <v>Jardines del Negralejo (Grupo Negralejo)</v>
      </c>
      <c r="Q41" s="14" t="n">
        <f aca="false">ROUND('Fincas 20 km'!F30*$L$9/$L$10*60,0)</f>
        <v>27</v>
      </c>
      <c r="R41" s="30" t="n">
        <f aca="false">IF('Fincas 20 km'!I30="",NA(),'Fincas 20 km'!I30)</f>
        <v>150</v>
      </c>
      <c r="S41" s="14"/>
      <c r="T41" s="43" t="n">
        <f aca="false">IF($P41=$D$5,0,IF(ISNUMBER(R41),(IF(AND($P41=$D$5,ISNUMBER($F$9)),$F$9,R41)*$F$8+$F$8*$F$10+$F$11)*(1+$L$8/100),0))</f>
        <v>19800</v>
      </c>
      <c r="U41" s="43" t="n">
        <f aca="false">IF($P41=$D$5,IF(ISNUMBER(R41),(IF(AND($P41=$D$5,ISNUMBER($F$9)),$F$9,R41)*$F$8+$F$8*$F$10+$F$11)*(1+$L$8/100),0),0)</f>
        <v>0</v>
      </c>
    </row>
    <row r="42" customFormat="false" ht="16.5" hidden="false" customHeight="true" outlineLevel="0" collapsed="false">
      <c r="B42" s="54" t="s">
        <v>72</v>
      </c>
      <c r="C42" s="54"/>
      <c r="D42" s="54"/>
      <c r="E42" s="55" t="str">
        <f aca="false">IFERROR(IF(INDEX('Fincas 20 km'!$T$2:$T$39,$K$5)="","No consta",INDEX('Fincas 20 km'!$T$2:$T$39,$K$5)),"—")</f>
        <v>Sí</v>
      </c>
      <c r="F42" s="55"/>
      <c r="G42" s="55"/>
      <c r="H42" s="55"/>
      <c r="I42" s="55"/>
      <c r="J42" s="55"/>
      <c r="K42" s="55"/>
      <c r="L42" s="55"/>
      <c r="M42" s="55"/>
      <c r="P42" s="14" t="str">
        <f aca="false">'Fincas 20 km'!B31</f>
        <v>Finca La Alquería</v>
      </c>
      <c r="Q42" s="14" t="n">
        <f aca="false">ROUND('Fincas 20 km'!F31*$L$9/$L$10*60,0)</f>
        <v>29</v>
      </c>
      <c r="R42" s="30" t="n">
        <f aca="false">IF('Fincas 20 km'!I31="",NA(),'Fincas 20 km'!I31)</f>
        <v>100</v>
      </c>
      <c r="S42" s="14"/>
      <c r="T42" s="43" t="n">
        <f aca="false">IF($P42=$D$5,0,IF(ISNUMBER(R42),(IF(AND($P42=$D$5,ISNUMBER($F$9)),$F$9,R42)*$F$8+$F$8*$F$10+$F$11)*(1+$L$8/100),0))</f>
        <v>13200</v>
      </c>
      <c r="U42" s="43" t="n">
        <f aca="false">IF($P42=$D$5,IF(ISNUMBER(R42),(IF(AND($P42=$D$5,ISNUMBER($F$9)),$F$9,R42)*$F$8+$F$8*$F$10+$F$11)*(1+$L$8/100),0),0)</f>
        <v>0</v>
      </c>
    </row>
    <row r="43" customFormat="false" ht="16.5" hidden="false" customHeight="true" outlineLevel="0" collapsed="false">
      <c r="B43" s="54" t="s">
        <v>73</v>
      </c>
      <c r="C43" s="54"/>
      <c r="D43" s="54"/>
      <c r="E43" s="55" t="str">
        <f aca="false">IFERROR(IF(INDEX('Fincas 20 km'!$U$2:$U$39,$K$5)="","No consta",INDEX('Fincas 20 km'!$U$2:$U$39,$K$5)),"—")</f>
        <v>Sí (hotel NH)</v>
      </c>
      <c r="F43" s="55"/>
      <c r="G43" s="55"/>
      <c r="H43" s="55"/>
      <c r="I43" s="55"/>
      <c r="J43" s="55"/>
      <c r="K43" s="55"/>
      <c r="L43" s="55"/>
      <c r="M43" s="55"/>
      <c r="P43" s="14" t="str">
        <f aca="false">'Fincas 20 km'!B32</f>
        <v>Finca Las Jarillas</v>
      </c>
      <c r="Q43" s="14" t="n">
        <f aca="false">ROUND('Fincas 20 km'!F32*$L$9/$L$10*60,0)</f>
        <v>32</v>
      </c>
      <c r="R43" s="14" t="e">
        <f aca="false">IF('Fincas 20 km'!I32="",NA(),'Fincas 20 km'!I32)</f>
        <v>#N/A</v>
      </c>
      <c r="S43" s="14"/>
      <c r="T43" s="43" t="n">
        <f aca="false">IF($P43=$D$5,0,IF(ISNUMBER(R43),(IF(AND($P43=$D$5,ISNUMBER($F$9)),$F$9,R43)*$F$8+$F$8*$F$10+$F$11)*(1+$L$8/100),0))</f>
        <v>0</v>
      </c>
      <c r="U43" s="43" t="n">
        <f aca="false">IF($P43=$D$5,IF(ISNUMBER(R43),(IF(AND($P43=$D$5,ISNUMBER($F$9)),$F$9,R43)*$F$8+$F$8*$F$10+$F$11)*(1+$L$8/100),0),0)</f>
        <v>0</v>
      </c>
    </row>
    <row r="44" customFormat="false" ht="16.5" hidden="false" customHeight="true" outlineLevel="0" collapsed="false">
      <c r="B44" s="54" t="s">
        <v>74</v>
      </c>
      <c r="C44" s="54"/>
      <c r="D44" s="54"/>
      <c r="E44" s="55" t="str">
        <f aca="false">IFERROR(IF(INDEX('Fincas 20 km'!$V$2:$V$39,$K$5)="","No consta",INDEX('Fincas 20 km'!$V$2:$V$39,$K$5)),"—")</f>
        <v>No consta</v>
      </c>
      <c r="F44" s="55"/>
      <c r="G44" s="55"/>
      <c r="H44" s="55"/>
      <c r="I44" s="55"/>
      <c r="J44" s="55"/>
      <c r="K44" s="55"/>
      <c r="L44" s="55"/>
      <c r="M44" s="55"/>
      <c r="P44" s="14" t="str">
        <f aca="false">'Fincas 20 km'!B33</f>
        <v>El Antiguo Convento de Boadilla del Monte</v>
      </c>
      <c r="Q44" s="14" t="n">
        <f aca="false">ROUND('Fincas 20 km'!F33*$L$9/$L$10*60,0)</f>
        <v>33</v>
      </c>
      <c r="R44" s="30" t="n">
        <f aca="false">IF('Fincas 20 km'!I33="",NA(),'Fincas 20 km'!I33)</f>
        <v>145</v>
      </c>
      <c r="S44" s="14"/>
      <c r="T44" s="43" t="n">
        <f aca="false">IF($P44=$D$5,0,IF(ISNUMBER(R44),(IF(AND($P44=$D$5,ISNUMBER($F$9)),$F$9,R44)*$F$8+$F$8*$F$10+$F$11)*(1+$L$8/100),0))</f>
        <v>19140</v>
      </c>
      <c r="U44" s="43" t="n">
        <f aca="false">IF($P44=$D$5,IF(ISNUMBER(R44),(IF(AND($P44=$D$5,ISNUMBER($F$9)),$F$9,R44)*$F$8+$F$8*$F$10+$F$11)*(1+$L$8/100),0),0)</f>
        <v>0</v>
      </c>
    </row>
    <row r="45" customFormat="false" ht="16.5" hidden="false" customHeight="true" outlineLevel="0" collapsed="false">
      <c r="B45" s="54" t="s">
        <v>75</v>
      </c>
      <c r="C45" s="54"/>
      <c r="D45" s="54"/>
      <c r="E45" s="55" t="str">
        <f aca="false">IFERROR(IF(INDEX('Fincas 20 km'!$W$2:$W$39,$K$5)="","No consta",INDEX('Fincas 20 km'!$W$2:$W$39,$K$5)),"—")</f>
        <v>No consta</v>
      </c>
      <c r="F45" s="55"/>
      <c r="G45" s="55"/>
      <c r="H45" s="55"/>
      <c r="I45" s="55"/>
      <c r="J45" s="55"/>
      <c r="K45" s="55"/>
      <c r="L45" s="55"/>
      <c r="M45" s="55"/>
      <c r="P45" s="14" t="str">
        <f aca="false">'Fincas 20 km'!B34</f>
        <v>Palacio de Aldovea</v>
      </c>
      <c r="Q45" s="14" t="n">
        <f aca="false">ROUND('Fincas 20 km'!F34*$L$9/$L$10*60,0)</f>
        <v>33</v>
      </c>
      <c r="R45" s="14" t="e">
        <f aca="false">IF('Fincas 20 km'!I34="",NA(),'Fincas 20 km'!I34)</f>
        <v>#N/A</v>
      </c>
      <c r="S45" s="14"/>
      <c r="T45" s="43" t="n">
        <f aca="false">IF($P45=$D$5,0,IF(ISNUMBER(R45),(IF(AND($P45=$D$5,ISNUMBER($F$9)),$F$9,R45)*$F$8+$F$8*$F$10+$F$11)*(1+$L$8/100),0))</f>
        <v>0</v>
      </c>
      <c r="U45" s="43" t="n">
        <f aca="false">IF($P45=$D$5,IF(ISNUMBER(R45),(IF(AND($P45=$D$5,ISNUMBER($F$9)),$F$9,R45)*$F$8+$F$8*$F$10+$F$11)*(1+$L$8/100),0),0)</f>
        <v>0</v>
      </c>
    </row>
    <row r="46" customFormat="false" ht="72" hidden="false" customHeight="true" outlineLevel="0" collapsed="false">
      <c r="B46" s="54" t="s">
        <v>29</v>
      </c>
      <c r="C46" s="54"/>
      <c r="D46" s="54"/>
      <c r="E46" s="55" t="str">
        <f aca="false">IFERROR(IF(INDEX('Fincas 20 km'!$H$2:$H$39,$K$5)="","No consta",INDEX('Fincas 20 km'!$H$2:$H$39,$K$5)),"—")</f>
        <v>Menú desde 76 € (promoción bodas.net); facturación mínima 9.000 €</v>
      </c>
      <c r="F46" s="55"/>
      <c r="G46" s="55"/>
      <c r="H46" s="55"/>
      <c r="I46" s="55"/>
      <c r="J46" s="55"/>
      <c r="K46" s="55"/>
      <c r="L46" s="55"/>
      <c r="M46" s="55"/>
      <c r="P46" s="14" t="str">
        <f aca="false">'Fincas 20 km'!B35</f>
        <v>Finca Villa María</v>
      </c>
      <c r="Q46" s="14" t="n">
        <f aca="false">ROUND('Fincas 20 km'!F35*$L$9/$L$10*60,0)</f>
        <v>34</v>
      </c>
      <c r="R46" s="30" t="n">
        <f aca="false">IF('Fincas 20 km'!I35="",NA(),'Fincas 20 km'!I35)</f>
        <v>145</v>
      </c>
      <c r="S46" s="14"/>
      <c r="T46" s="43" t="n">
        <f aca="false">IF($P46=$D$5,0,IF(ISNUMBER(R46),(IF(AND($P46=$D$5,ISNUMBER($F$9)),$F$9,R46)*$F$8+$F$8*$F$10+$F$11)*(1+$L$8/100),0))</f>
        <v>19140</v>
      </c>
      <c r="U46" s="43" t="n">
        <f aca="false">IF($P46=$D$5,IF(ISNUMBER(R46),(IF(AND($P46=$D$5,ISNUMBER($F$9)),$F$9,R46)*$F$8+$F$8*$F$10+$F$11)*(1+$L$8/100),0),0)</f>
        <v>0</v>
      </c>
    </row>
    <row r="47" customFormat="false" ht="72" hidden="false" customHeight="true" outlineLevel="0" collapsed="false">
      <c r="B47" s="54" t="s">
        <v>76</v>
      </c>
      <c r="C47" s="54"/>
      <c r="D47" s="54"/>
      <c r="E47" s="55" t="str">
        <f aca="false">IFERROR(IF(INDEX('Fincas 20 km'!$X$2:$X$39,$K$5)="","No consta",INDEX('Fincas 20 km'!$X$2:$X$39,$K$5)),"—")</f>
        <v>El más céntrico de la lista (evita autobús). Opiniones destacan al wedding planner (Roberto) y que es LGTBI+ y vegan friendly.</v>
      </c>
      <c r="F47" s="55"/>
      <c r="G47" s="55"/>
      <c r="H47" s="55"/>
      <c r="I47" s="55"/>
      <c r="J47" s="55"/>
      <c r="K47" s="55"/>
      <c r="L47" s="55"/>
      <c r="M47" s="55"/>
      <c r="P47" s="14" t="str">
        <f aca="false">'Fincas 20 km'!B36</f>
        <v>Gasterea Finca Restaurante</v>
      </c>
      <c r="Q47" s="14" t="n">
        <f aca="false">ROUND('Fincas 20 km'!F36*$L$9/$L$10*60,0)</f>
        <v>34</v>
      </c>
      <c r="R47" s="30" t="n">
        <f aca="false">IF('Fincas 20 km'!I36="",NA(),'Fincas 20 km'!I36)</f>
        <v>120</v>
      </c>
      <c r="S47" s="14"/>
      <c r="T47" s="43" t="n">
        <f aca="false">IF($P47=$D$5,0,IF(ISNUMBER(R47),(IF(AND($P47=$D$5,ISNUMBER($F$9)),$F$9,R47)*$F$8+$F$8*$F$10+$F$11)*(1+$L$8/100),0))</f>
        <v>15840</v>
      </c>
      <c r="U47" s="43" t="n">
        <f aca="false">IF($P47=$D$5,IF(ISNUMBER(R47),(IF(AND($P47=$D$5,ISNUMBER($F$9)),$F$9,R47)*$F$8+$F$8*$F$10+$F$11)*(1+$L$8/100),0),0)</f>
        <v>0</v>
      </c>
    </row>
    <row r="48" customFormat="false" ht="16.5" hidden="false" customHeight="true" outlineLevel="0" collapsed="false">
      <c r="B48" s="54" t="s">
        <v>77</v>
      </c>
      <c r="C48" s="54"/>
      <c r="D48" s="54"/>
      <c r="E48" s="55" t="str">
        <f aca="false">IFERROR(IF(INDEX('Fincas 20 km'!$AB$2:$AB$39,$K$5)="","No consta",INDEX('Fincas 20 km'!$AB$2:$AB$39,$K$5)),"—")</f>
        <v>+34 913 61 02 88</v>
      </c>
      <c r="F48" s="55"/>
      <c r="G48" s="55"/>
      <c r="H48" s="55"/>
      <c r="I48" s="55"/>
      <c r="J48" s="55"/>
      <c r="K48" s="55"/>
      <c r="L48" s="55"/>
      <c r="M48" s="55"/>
      <c r="P48" s="14" t="str">
        <f aca="false">'Fincas 20 km'!B37</f>
        <v>Finca La Constancia</v>
      </c>
      <c r="Q48" s="14" t="n">
        <f aca="false">ROUND('Fincas 20 km'!F37*$L$9/$L$10*60,0)</f>
        <v>34</v>
      </c>
      <c r="R48" s="30" t="n">
        <f aca="false">IF('Fincas 20 km'!I37="",NA(),'Fincas 20 km'!I37)</f>
        <v>50</v>
      </c>
      <c r="S48" s="14"/>
      <c r="T48" s="43" t="n">
        <f aca="false">IF($P48=$D$5,0,IF(ISNUMBER(R48),(IF(AND($P48=$D$5,ISNUMBER($F$9)),$F$9,R48)*$F$8+$F$8*$F$10+$F$11)*(1+$L$8/100),0))</f>
        <v>6600</v>
      </c>
      <c r="U48" s="43" t="n">
        <f aca="false">IF($P48=$D$5,IF(ISNUMBER(R48),(IF(AND($P48=$D$5,ISNUMBER($F$9)),$F$9,R48)*$F$8+$F$8*$F$10+$F$11)*(1+$L$8/100),0),0)</f>
        <v>0</v>
      </c>
    </row>
    <row r="49" customFormat="false" ht="16.5" hidden="false" customHeight="true" outlineLevel="0" collapsed="false">
      <c r="B49" s="56" t="s">
        <v>78</v>
      </c>
      <c r="C49" s="56"/>
      <c r="D49" s="56"/>
      <c r="E49" s="37" t="str">
        <f aca="false">"Google: "&amp;IF(INDEX('Fincas 20 km'!$Y$2:$Y$39,$K$5)="","—",TEXT(INDEX('Fincas 20 km'!$Y$2:$Y$39,$K$5),"0.0")&amp;" ("&amp;INDEX('Fincas 20 km'!$Z$2:$Z$39,$K$5)&amp;" reseñas)")&amp;"   ·   bodas.net: "&amp;IF(INDEX('Fincas 20 km'!$AA$2:$AA$39,$K$5)="","—",INDEX('Fincas 20 km'!$AA$2:$AA$39,$K$5))</f>
        <v>Google: 4.7 (15 reseñas)   ·   bodas.net: 4,9 (161)</v>
      </c>
      <c r="F49" s="37"/>
      <c r="G49" s="37"/>
      <c r="H49" s="37"/>
      <c r="I49" s="37"/>
      <c r="J49" s="37"/>
      <c r="K49" s="37"/>
      <c r="L49" s="37"/>
      <c r="M49" s="37"/>
      <c r="P49" s="14" t="str">
        <f aca="false">'Fincas 20 km'!B38</f>
        <v>Villa Laureana</v>
      </c>
      <c r="Q49" s="14" t="n">
        <f aca="false">ROUND('Fincas 20 km'!F38*$L$9/$L$10*60,0)</f>
        <v>37</v>
      </c>
      <c r="R49" s="30" t="n">
        <f aca="false">IF('Fincas 20 km'!I38="",NA(),'Fincas 20 km'!I38)</f>
        <v>120</v>
      </c>
      <c r="S49" s="14"/>
      <c r="T49" s="43" t="n">
        <f aca="false">IF($P49=$D$5,0,IF(ISNUMBER(R49),(IF(AND($P49=$D$5,ISNUMBER($F$9)),$F$9,R49)*$F$8+$F$8*$F$10+$F$11)*(1+$L$8/100),0))</f>
        <v>15840</v>
      </c>
      <c r="U49" s="43" t="n">
        <f aca="false">IF($P49=$D$5,IF(ISNUMBER(R49),(IF(AND($P49=$D$5,ISNUMBER($F$9)),$F$9,R49)*$F$8+$F$8*$F$10+$F$11)*(1+$L$8/100),0),0)</f>
        <v>0</v>
      </c>
    </row>
    <row r="50" customFormat="false" ht="16.5" hidden="false" customHeight="true" outlineLevel="0" collapsed="false">
      <c r="B50" s="56" t="s">
        <v>79</v>
      </c>
      <c r="C50" s="56"/>
      <c r="D50" s="56"/>
      <c r="E50" s="57" t="str">
        <f aca="false">HYPERLINK("https://www.google.com/maps/dir/?api=1&amp;origin=Calle+de+Ayala+71,+Madrid&amp;destination="&amp;INDEX('Fincas 20 km'!$AE$2:$AE$39,$K$5)&amp;","&amp;INDEX('Fincas 20 km'!$AF$2:$AF$39,$K$5)&amp;"&amp;travelmode=driving","Ruta y tiempo real")</f>
        <v>Ruta y tiempo real</v>
      </c>
      <c r="F50" s="57"/>
      <c r="G50" s="57"/>
      <c r="H50" s="57" t="str">
        <f aca="false">INDEX('Fincas 20 km'!$AJ$2:$AJ$39,$K$5)</f>
        <v>Buscar en Instagram</v>
      </c>
      <c r="I50" s="57"/>
      <c r="J50" s="57"/>
      <c r="K50" s="57" t="str">
        <f aca="false">IFERROR(HYPERLINK(INDEX('Fincas 20 km'!$AC$2:$AC$39,$K$5),"Ficha de origen"),"")</f>
        <v>Ficha de origen</v>
      </c>
      <c r="L50" s="57"/>
      <c r="M50" s="57"/>
      <c r="P50" s="14" t="str">
        <f aca="false">'Fincas 20 km'!B39</f>
        <v>Señorío de Ajuria</v>
      </c>
      <c r="Q50" s="14" t="n">
        <f aca="false">ROUND('Fincas 20 km'!F39*$L$9/$L$10*60,0)</f>
        <v>37</v>
      </c>
      <c r="R50" s="30" t="n">
        <f aca="false">IF('Fincas 20 km'!I39="",NA(),'Fincas 20 km'!I39)</f>
        <v>90</v>
      </c>
      <c r="S50" s="14"/>
      <c r="T50" s="43" t="n">
        <f aca="false">IF($P50=$D$5,0,IF(ISNUMBER(R50),(IF(AND($P50=$D$5,ISNUMBER($F$9)),$F$9,R50)*$F$8+$F$8*$F$10+$F$11)*(1+$L$8/100),0))</f>
        <v>11880</v>
      </c>
      <c r="U50" s="43" t="n">
        <f aca="false">IF($P50=$D$5,IF(ISNUMBER(R50),(IF(AND($P50=$D$5,ISNUMBER($F$9)),$F$9,R50)*$F$8+$F$8*$F$10+$F$11)*(1+$L$8/100),0),0)</f>
        <v>0</v>
      </c>
    </row>
    <row r="51" customFormat="false" ht="16.5" hidden="false" customHeight="true" outlineLevel="0" collapsed="false"/>
    <row r="52" customFormat="false" ht="16.5" hidden="false" customHeight="true" outlineLevel="0" collapsed="false">
      <c r="B52" s="35" t="s">
        <v>80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</sheetData>
  <mergeCells count="77">
    <mergeCell ref="B1:M2"/>
    <mergeCell ref="B3:M3"/>
    <mergeCell ref="B5:C5"/>
    <mergeCell ref="D5:I5"/>
    <mergeCell ref="B7:M7"/>
    <mergeCell ref="B8:E8"/>
    <mergeCell ref="H8:K8"/>
    <mergeCell ref="B9:E9"/>
    <mergeCell ref="H9:K9"/>
    <mergeCell ref="B10:E10"/>
    <mergeCell ref="H10:K10"/>
    <mergeCell ref="B11:E11"/>
    <mergeCell ref="B13:D13"/>
    <mergeCell ref="E13:G13"/>
    <mergeCell ref="H13:J13"/>
    <mergeCell ref="K13:M13"/>
    <mergeCell ref="B14:D15"/>
    <mergeCell ref="E14:G15"/>
    <mergeCell ref="H14:J15"/>
    <mergeCell ref="K14:M15"/>
    <mergeCell ref="B16:D16"/>
    <mergeCell ref="E16:G16"/>
    <mergeCell ref="H16:J16"/>
    <mergeCell ref="K16:M16"/>
    <mergeCell ref="B18:M18"/>
    <mergeCell ref="B19:E19"/>
    <mergeCell ref="B20:E20"/>
    <mergeCell ref="B21:E21"/>
    <mergeCell ref="B22:E22"/>
    <mergeCell ref="B23:E23"/>
    <mergeCell ref="B25:M25"/>
    <mergeCell ref="B26:M26"/>
    <mergeCell ref="B27:M27"/>
    <mergeCell ref="B28:M28"/>
    <mergeCell ref="B29:M29"/>
    <mergeCell ref="B31:M31"/>
    <mergeCell ref="B32:D32"/>
    <mergeCell ref="E32:M32"/>
    <mergeCell ref="B33:D33"/>
    <mergeCell ref="E33:M33"/>
    <mergeCell ref="B34:D34"/>
    <mergeCell ref="E34:M34"/>
    <mergeCell ref="B35:D35"/>
    <mergeCell ref="E35:M35"/>
    <mergeCell ref="B36:D36"/>
    <mergeCell ref="E36:M36"/>
    <mergeCell ref="B37:D37"/>
    <mergeCell ref="E37:M37"/>
    <mergeCell ref="B38:D38"/>
    <mergeCell ref="E38:M38"/>
    <mergeCell ref="B39:D39"/>
    <mergeCell ref="E39:M39"/>
    <mergeCell ref="B40:D40"/>
    <mergeCell ref="E40:M40"/>
    <mergeCell ref="B41:D41"/>
    <mergeCell ref="E41:M41"/>
    <mergeCell ref="B42:D42"/>
    <mergeCell ref="E42:M42"/>
    <mergeCell ref="B43:D43"/>
    <mergeCell ref="E43:M43"/>
    <mergeCell ref="B44:D44"/>
    <mergeCell ref="E44:M44"/>
    <mergeCell ref="B45:D45"/>
    <mergeCell ref="E45:M45"/>
    <mergeCell ref="B46:D46"/>
    <mergeCell ref="E46:M46"/>
    <mergeCell ref="B47:D47"/>
    <mergeCell ref="E47:M47"/>
    <mergeCell ref="B48:D48"/>
    <mergeCell ref="E48:M48"/>
    <mergeCell ref="B49:D49"/>
    <mergeCell ref="E49:M49"/>
    <mergeCell ref="B50:D50"/>
    <mergeCell ref="E50:G50"/>
    <mergeCell ref="H50:J50"/>
    <mergeCell ref="K50:M50"/>
    <mergeCell ref="B52:M52"/>
  </mergeCells>
  <conditionalFormatting sqref="G19:G21">
    <cfRule type="dataBar" priority="2">
      <dataBar showValue="1" minLength="10" maxLength="90">
        <cfvo type="num" val="0"/>
        <cfvo type="num" val="1"/>
        <color rgb="FFF2C48D"/>
      </dataBar>
      <extLst>
        <ext xmlns:x14="http://schemas.microsoft.com/office/spreadsheetml/2009/9/main" uri="{B025F937-C7B1-47D3-B67F-A62EFF666E3E}">
          <x14:id>{9FEA7A5A-7AA6-4665-B026-4DD3424A5D4A}</x14:id>
        </ext>
      </extLst>
    </cfRule>
  </conditionalFormatting>
  <conditionalFormatting sqref="B25:B29">
    <cfRule type="expression" priority="3" aboveAverage="0" equalAverage="0" bottom="0" percent="0" rank="0" text="" dxfId="3">
      <formula>LEFT(B25,1)="⚠"</formula>
    </cfRule>
    <cfRule type="expression" priority="4" aboveAverage="0" equalAverage="0" bottom="0" percent="0" rank="0" text="" dxfId="4">
      <formula>LEFT(B25,1)="⛔"</formula>
    </cfRule>
    <cfRule type="expression" priority="5" aboveAverage="0" equalAverage="0" bottom="0" percent="0" rank="0" text="" dxfId="5">
      <formula>LEFT(B25,1)="✓"</formula>
    </cfRule>
  </conditionalFormatting>
  <conditionalFormatting sqref="P4:U60">
    <cfRule type="expression" priority="6" aboveAverage="0" equalAverage="0" bottom="0" percent="0" rank="0" text="" dxfId="6">
      <formula>ISNA(P4)</formula>
    </cfRule>
  </conditionalFormatting>
  <dataValidations count="6">
    <dataValidation allowBlank="false" error="Elige una finca de la lista" errorStyle="stop" errorTitle="Finca" operator="between" prompt="Despliega y elige una finca" promptTitle="Finca" showDropDown="false" showErrorMessage="false" showInputMessage="false" sqref="D5" type="list">
      <formula1>'Fincas 20 km'!$B$2:$B$39</formula1>
      <formula2>0</formula2>
    </dataValidation>
    <dataValidation allowBlank="false" error="Entre 1 y 2.000 invitados" errorStyle="stop" operator="between" showDropDown="false" showErrorMessage="true" showInputMessage="false" sqref="F8" type="whole">
      <formula1>1</formula1>
      <formula2>2000</formula2>
    </dataValidation>
    <dataValidation allowBlank="false" error="Introduce un número ≥ 0" errorStyle="stop" operator="greaterThanOrEqual" showDropDown="false" showErrorMessage="true" showInputMessage="false" sqref="F9:F11" type="decimal">
      <formula1>0</formula1>
      <formula2>0</formula2>
    </dataValidation>
    <dataValidation allowBlank="false" error="Elige 0, 10 o 21" errorStyle="stop" operator="between" showDropDown="false" showErrorMessage="true" showInputMessage="false" sqref="L8" type="list">
      <formula1>"0,10,21"</formula1>
      <formula2>0</formula2>
    </dataValidation>
    <dataValidation allowBlank="false" error="Entre 1 y 2" errorStyle="stop" operator="between" showDropDown="false" showErrorMessage="true" showInputMessage="false" sqref="L9" type="decimal">
      <formula1>1</formula1>
      <formula2>2</formula2>
    </dataValidation>
    <dataValidation allowBlank="false" error="Entre 10 y 120 km/h" errorStyle="stop" operator="between" showDropDown="false" showErrorMessage="true" showInputMessage="false" sqref="L10" type="decimal">
      <formula1>10</formula1>
      <formula2>120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EA7A5A-7AA6-4665-B026-4DD3424A5D4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2C48D"/>
              <x14:axisColor rgb="FF000000"/>
            </x14:dataBar>
          </x14:cfRule>
          <xm:sqref>G19:G21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9"/>
    <col collapsed="false" customWidth="true" hidden="false" outlineLevel="0" max="13" min="13" style="0" width="26"/>
    <col collapsed="false" customWidth="true" hidden="false" outlineLevel="0" max="14" min="14" style="0" width="32"/>
    <col collapsed="false" customWidth="true" hidden="false" outlineLevel="0" max="15" min="15" style="0" width="28"/>
    <col collapsed="false" customWidth="true" hidden="false" outlineLevel="0" max="16" min="16" style="0" width="44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26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16"/>
    <col collapsed="false" customWidth="true" hidden="false" outlineLevel="0" max="23" min="23" style="0" width="20"/>
    <col collapsed="false" customWidth="true" hidden="false" outlineLevel="0" max="24" min="24" style="0" width="50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8" min="27" style="0" width="16"/>
    <col collapsed="false" customWidth="true" hidden="false" outlineLevel="0" max="29" min="29" style="0" width="40"/>
    <col collapsed="false" customWidth="true" hidden="false" outlineLevel="0" max="30" min="30" style="0" width="13"/>
    <col collapsed="false" customWidth="true" hidden="false" outlineLevel="0" max="32" min="31" style="0" width="11"/>
    <col collapsed="false" customWidth="true" hidden="false" outlineLevel="0" max="33" min="33" style="0" width="14"/>
    <col collapsed="false" customWidth="true" hidden="false" outlineLevel="0" max="35" min="34" style="0" width="18"/>
    <col collapsed="false" customWidth="true" hidden="false" outlineLevel="0" max="36" min="36" style="0" width="20"/>
  </cols>
  <sheetData>
    <row r="1" customFormat="false" ht="48" hidden="false" customHeight="true" outlineLevel="0" collapsed="false">
      <c r="A1" s="58" t="s">
        <v>22</v>
      </c>
      <c r="B1" s="58" t="s">
        <v>81</v>
      </c>
      <c r="C1" s="58" t="s">
        <v>62</v>
      </c>
      <c r="D1" s="58" t="s">
        <v>82</v>
      </c>
      <c r="E1" s="58" t="s">
        <v>64</v>
      </c>
      <c r="F1" s="58" t="s">
        <v>83</v>
      </c>
      <c r="G1" s="58" t="s">
        <v>84</v>
      </c>
      <c r="H1" s="58" t="s">
        <v>85</v>
      </c>
      <c r="I1" s="58" t="s">
        <v>86</v>
      </c>
      <c r="J1" s="58" t="str">
        <f aca="false">"Coste menú orientativo para "&amp;Notas!$B$7&amp;" invitados (€)"</f>
        <v>Coste menú orientativo para 120 invitados (€)</v>
      </c>
      <c r="K1" s="58" t="s">
        <v>33</v>
      </c>
      <c r="L1" s="58" t="s">
        <v>16</v>
      </c>
      <c r="M1" s="58" t="s">
        <v>87</v>
      </c>
      <c r="N1" s="58" t="s">
        <v>66</v>
      </c>
      <c r="O1" s="58" t="s">
        <v>67</v>
      </c>
      <c r="P1" s="58" t="s">
        <v>88</v>
      </c>
      <c r="Q1" s="58" t="s">
        <v>69</v>
      </c>
      <c r="R1" s="58" t="s">
        <v>70</v>
      </c>
      <c r="S1" s="58" t="s">
        <v>71</v>
      </c>
      <c r="T1" s="58" t="s">
        <v>72</v>
      </c>
      <c r="U1" s="58" t="s">
        <v>73</v>
      </c>
      <c r="V1" s="58" t="s">
        <v>74</v>
      </c>
      <c r="W1" s="58" t="s">
        <v>89</v>
      </c>
      <c r="X1" s="58" t="s">
        <v>76</v>
      </c>
      <c r="Y1" s="58" t="s">
        <v>90</v>
      </c>
      <c r="Z1" s="58" t="s">
        <v>91</v>
      </c>
      <c r="AA1" s="58" t="s">
        <v>92</v>
      </c>
      <c r="AB1" s="58" t="s">
        <v>77</v>
      </c>
      <c r="AC1" s="58" t="s">
        <v>93</v>
      </c>
      <c r="AD1" s="58" t="s">
        <v>94</v>
      </c>
      <c r="AE1" s="58" t="s">
        <v>95</v>
      </c>
      <c r="AF1" s="58" t="s">
        <v>96</v>
      </c>
      <c r="AG1" s="58" t="s">
        <v>97</v>
      </c>
      <c r="AH1" s="58" t="s">
        <v>98</v>
      </c>
      <c r="AI1" s="58" t="s">
        <v>99</v>
      </c>
      <c r="AJ1" s="58" t="s">
        <v>100</v>
      </c>
    </row>
    <row r="2" customFormat="false" ht="35.05" hidden="false" customHeight="false" outlineLevel="0" collapsed="false">
      <c r="A2" s="59" t="n">
        <v>1</v>
      </c>
      <c r="B2" s="60" t="s">
        <v>31</v>
      </c>
      <c r="C2" s="61" t="s">
        <v>101</v>
      </c>
      <c r="D2" s="61" t="s">
        <v>102</v>
      </c>
      <c r="E2" s="61" t="s">
        <v>103</v>
      </c>
      <c r="F2" s="62" t="n">
        <f aca="false">ROUND(6371*2*ASIN(SQRT(SIN(RADIANS(AE2-Notas!$B$4)/2)^2+COS(RADIANS(Notas!$B$4))*COS(RADIANS(AE2))*SIN(RADIANS(AF2-Notas!$B$5)/2)^2)),1)</f>
        <v>1.3</v>
      </c>
      <c r="G2" s="59" t="str">
        <f aca="false">IF(F2&lt;=Notas!$B$6,"Sí","No")</f>
        <v>Sí</v>
      </c>
      <c r="H2" s="61" t="s">
        <v>104</v>
      </c>
      <c r="I2" s="63" t="n">
        <v>76</v>
      </c>
      <c r="J2" s="63" t="n">
        <f aca="false">IF(ISNUMBER(I2),I2*Notas!$B$7,"")</f>
        <v>9120</v>
      </c>
      <c r="K2" s="64"/>
      <c r="L2" s="64"/>
      <c r="M2" s="61" t="s">
        <v>105</v>
      </c>
      <c r="N2" s="61" t="s">
        <v>106</v>
      </c>
      <c r="O2" s="61" t="s">
        <v>107</v>
      </c>
      <c r="P2" s="61" t="s">
        <v>108</v>
      </c>
      <c r="Q2" s="61" t="s">
        <v>109</v>
      </c>
      <c r="R2" s="61" t="s">
        <v>110</v>
      </c>
      <c r="S2" s="61" t="s">
        <v>111</v>
      </c>
      <c r="T2" s="61" t="s">
        <v>112</v>
      </c>
      <c r="U2" s="61" t="s">
        <v>113</v>
      </c>
      <c r="V2" s="61" t="s">
        <v>114</v>
      </c>
      <c r="W2" s="61" t="s">
        <v>114</v>
      </c>
      <c r="X2" s="61" t="s">
        <v>115</v>
      </c>
      <c r="Y2" s="62" t="n">
        <v>4.7</v>
      </c>
      <c r="Z2" s="59" t="n">
        <v>15</v>
      </c>
      <c r="AA2" s="61" t="s">
        <v>116</v>
      </c>
      <c r="AB2" s="61" t="s">
        <v>117</v>
      </c>
      <c r="AC2" s="65" t="s">
        <v>118</v>
      </c>
      <c r="AD2" s="65" t="str">
        <f aca="false">HYPERLINK("https://www.google.com/maps/search/?api=1&amp;query="&amp;AE2&amp;","&amp;AF2,"Abrir mapa")</f>
        <v>Abrir mapa</v>
      </c>
      <c r="AE2" s="61" t="n">
        <v>40.4353525</v>
      </c>
      <c r="AF2" s="61" t="n">
        <v>-3.6638616</v>
      </c>
      <c r="AG2" s="66" t="n">
        <f aca="false">ROUND(F2*Notas!$B$8/Notas!$B$9*60,0)</f>
        <v>3</v>
      </c>
      <c r="AH2" s="67" t="str">
        <f aca="false">HYPERLINK("https://www.google.com/maps/dir/?api=1&amp;origin=Calle+de+Ayala+71,+Madrid&amp;destination="&amp;AE2&amp;","&amp;AF2&amp;"&amp;travelmode=driving","Ver ruta y tiempo")</f>
        <v>Ver ruta y tiempo</v>
      </c>
      <c r="AI2" s="68"/>
      <c r="AJ2" s="67" t="str">
        <f aca="false">IF(AI2="",HYPERLINK("https://www.google.com/search?q=site%3Ainstagram.com+El+Jard%C3%ADn+de+Ventas+bodas","Buscar en Instagram"),HYPERLINK("https://instagram.com/"&amp;SUBSTITUTE(AI2,"@",""),AI2))</f>
        <v>Buscar en Instagram</v>
      </c>
    </row>
    <row r="3" customFormat="false" ht="23.85" hidden="false" customHeight="false" outlineLevel="0" collapsed="false">
      <c r="A3" s="69" t="n">
        <v>2</v>
      </c>
      <c r="B3" s="70" t="s">
        <v>119</v>
      </c>
      <c r="C3" s="71" t="s">
        <v>120</v>
      </c>
      <c r="D3" s="71" t="s">
        <v>121</v>
      </c>
      <c r="E3" s="71" t="s">
        <v>122</v>
      </c>
      <c r="F3" s="72" t="n">
        <f aca="false">ROUND(6371*2*ASIN(SQRT(SIN(RADIANS(AE3-Notas!$B$4)/2)^2+COS(RADIANS(Notas!$B$4))*COS(RADIANS(AE3))*SIN(RADIANS(AF3-Notas!$B$5)/2)^2)),1)</f>
        <v>2.4</v>
      </c>
      <c r="G3" s="69" t="str">
        <f aca="false">IF(F3&lt;=Notas!$B$6,"Sí","No")</f>
        <v>Sí</v>
      </c>
      <c r="H3" s="71" t="s">
        <v>123</v>
      </c>
      <c r="I3" s="73" t="n">
        <v>138</v>
      </c>
      <c r="J3" s="73" t="n">
        <f aca="false">IF(ISNUMBER(I3),I3*Notas!$B$7,"")</f>
        <v>16560</v>
      </c>
      <c r="K3" s="74"/>
      <c r="L3" s="74" t="n">
        <v>450</v>
      </c>
      <c r="M3" s="71" t="s">
        <v>124</v>
      </c>
      <c r="N3" s="71" t="s">
        <v>125</v>
      </c>
      <c r="O3" s="71" t="s">
        <v>126</v>
      </c>
      <c r="P3" s="71" t="s">
        <v>127</v>
      </c>
      <c r="Q3" s="71" t="s">
        <v>109</v>
      </c>
      <c r="R3" s="71" t="s">
        <v>128</v>
      </c>
      <c r="S3" s="71" t="s">
        <v>129</v>
      </c>
      <c r="T3" s="71" t="s">
        <v>130</v>
      </c>
      <c r="U3" s="71" t="s">
        <v>131</v>
      </c>
      <c r="V3" s="71" t="s">
        <v>114</v>
      </c>
      <c r="W3" s="71" t="s">
        <v>114</v>
      </c>
      <c r="X3" s="71" t="s">
        <v>132</v>
      </c>
      <c r="Y3" s="72"/>
      <c r="Z3" s="69"/>
      <c r="AA3" s="71" t="s">
        <v>133</v>
      </c>
      <c r="AB3" s="71" t="s">
        <v>134</v>
      </c>
      <c r="AC3" s="75" t="s">
        <v>135</v>
      </c>
      <c r="AD3" s="75" t="str">
        <f aca="false">HYPERLINK("https://www.google.com/maps/search/?api=1&amp;query="&amp;AE3&amp;","&amp;AF3,"Abrir mapa")</f>
        <v>Abrir mapa</v>
      </c>
      <c r="AE3" s="71" t="n">
        <v>40.4061501</v>
      </c>
      <c r="AF3" s="71" t="n">
        <v>-3.6825436</v>
      </c>
      <c r="AG3" s="76" t="n">
        <f aca="false">ROUND(F3*Notas!$B$8/Notas!$B$9*60,0)</f>
        <v>5</v>
      </c>
      <c r="AH3" s="77" t="str">
        <f aca="false">HYPERLINK("https://www.google.com/maps/dir/?api=1&amp;origin=Calle+de+Ayala+71,+Madrid&amp;destination="&amp;AE3&amp;","&amp;AF3&amp;"&amp;travelmode=driving","Ver ruta y tiempo")</f>
        <v>Ver ruta y tiempo</v>
      </c>
      <c r="AI3" s="78"/>
      <c r="AJ3" s="77" t="str">
        <f aca="false">IF(AI3="",HYPERLINK("https://www.google.com/search?q=site%3Ainstagram.com+Real+F%C3%A1brica+de+Tapices+++El+Puchero+de+Plata+bodas","Buscar en Instagram"),HYPERLINK("https://instagram.com/"&amp;SUBSTITUTE(AI3,"@",""),AI3))</f>
        <v>Buscar en Instagram</v>
      </c>
    </row>
    <row r="4" customFormat="false" ht="35.05" hidden="false" customHeight="false" outlineLevel="0" collapsed="false">
      <c r="A4" s="59" t="n">
        <v>3</v>
      </c>
      <c r="B4" s="60" t="s">
        <v>136</v>
      </c>
      <c r="C4" s="61" t="s">
        <v>137</v>
      </c>
      <c r="D4" s="61" t="s">
        <v>138</v>
      </c>
      <c r="E4" s="61" t="s">
        <v>139</v>
      </c>
      <c r="F4" s="62" t="n">
        <f aca="false">ROUND(6371*2*ASIN(SQRT(SIN(RADIANS(AE4-Notas!$B$4)/2)^2+COS(RADIANS(Notas!$B$4))*COS(RADIANS(AE4))*SIN(RADIANS(AF4-Notas!$B$5)/2)^2)),1)</f>
        <v>3.9</v>
      </c>
      <c r="G4" s="59" t="str">
        <f aca="false">IF(F4&lt;=Notas!$B$6,"Sí","No")</f>
        <v>Sí</v>
      </c>
      <c r="H4" s="61" t="s">
        <v>140</v>
      </c>
      <c r="I4" s="63"/>
      <c r="J4" s="63" t="str">
        <f aca="false">IF(ISNUMBER(I4),I4*Notas!$B$7,"")</f>
        <v/>
      </c>
      <c r="K4" s="64" t="n">
        <v>10</v>
      </c>
      <c r="L4" s="64" t="n">
        <v>165</v>
      </c>
      <c r="M4" s="61" t="s">
        <v>141</v>
      </c>
      <c r="N4" s="61" t="s">
        <v>142</v>
      </c>
      <c r="O4" s="61" t="s">
        <v>143</v>
      </c>
      <c r="P4" s="61" t="s">
        <v>144</v>
      </c>
      <c r="Q4" s="61" t="s">
        <v>145</v>
      </c>
      <c r="R4" s="61" t="s">
        <v>146</v>
      </c>
      <c r="S4" s="61" t="s">
        <v>129</v>
      </c>
      <c r="T4" s="61" t="s">
        <v>145</v>
      </c>
      <c r="U4" s="61" t="s">
        <v>131</v>
      </c>
      <c r="V4" s="61" t="s">
        <v>114</v>
      </c>
      <c r="W4" s="61" t="s">
        <v>114</v>
      </c>
      <c r="X4" s="61" t="s">
        <v>147</v>
      </c>
      <c r="Y4" s="62" t="n">
        <v>4.5</v>
      </c>
      <c r="Z4" s="59" t="n">
        <v>61</v>
      </c>
      <c r="AA4" s="61" t="s">
        <v>148</v>
      </c>
      <c r="AB4" s="61" t="s">
        <v>149</v>
      </c>
      <c r="AC4" s="65" t="s">
        <v>150</v>
      </c>
      <c r="AD4" s="65" t="str">
        <f aca="false">HYPERLINK("https://www.google.com/maps/search/?api=1&amp;query="&amp;AE4&amp;","&amp;AF4,"Abrir mapa")</f>
        <v>Abrir mapa</v>
      </c>
      <c r="AE4" s="61" t="n">
        <v>40.4586337</v>
      </c>
      <c r="AF4" s="61" t="n">
        <v>-3.6553225</v>
      </c>
      <c r="AG4" s="66" t="n">
        <f aca="false">ROUND(F4*Notas!$B$8/Notas!$B$9*60,0)</f>
        <v>8</v>
      </c>
      <c r="AH4" s="67" t="str">
        <f aca="false">HYPERLINK("https://www.google.com/maps/dir/?api=1&amp;origin=Calle+de+Ayala+71,+Madrid&amp;destination="&amp;AE4&amp;","&amp;AF4&amp;"&amp;travelmode=driving","Ver ruta y tiempo")</f>
        <v>Ver ruta y tiempo</v>
      </c>
      <c r="AI4" s="68"/>
      <c r="AJ4" s="67" t="str">
        <f aca="false">IF(AI4="",HYPERLINK("https://www.google.com/search?q=site%3Ainstagram.com+La+Quinta+by+Madrid+Catering+bodas","Buscar en Instagram"),HYPERLINK("https://instagram.com/"&amp;SUBSTITUTE(AI4,"@",""),AI4))</f>
        <v>Buscar en Instagram</v>
      </c>
    </row>
    <row r="5" customFormat="false" ht="23.85" hidden="false" customHeight="false" outlineLevel="0" collapsed="false">
      <c r="A5" s="69" t="n">
        <v>4</v>
      </c>
      <c r="B5" s="70" t="s">
        <v>151</v>
      </c>
      <c r="C5" s="71" t="s">
        <v>152</v>
      </c>
      <c r="D5" s="71" t="s">
        <v>153</v>
      </c>
      <c r="E5" s="71" t="s">
        <v>154</v>
      </c>
      <c r="F5" s="72" t="n">
        <f aca="false">ROUND(6371*2*ASIN(SQRT(SIN(RADIANS(AE5-Notas!$B$4)/2)^2+COS(RADIANS(Notas!$B$4))*COS(RADIANS(AE5))*SIN(RADIANS(AF5-Notas!$B$5)/2)^2)),1)</f>
        <v>4</v>
      </c>
      <c r="G5" s="69" t="str">
        <f aca="false">IF(F5&lt;=Notas!$B$6,"Sí","No")</f>
        <v>Sí</v>
      </c>
      <c r="H5" s="71" t="s">
        <v>123</v>
      </c>
      <c r="I5" s="73" t="n">
        <v>138</v>
      </c>
      <c r="J5" s="73" t="n">
        <f aca="false">IF(ISNUMBER(I5),I5*Notas!$B$7,"")</f>
        <v>16560</v>
      </c>
      <c r="K5" s="74" t="n">
        <v>60</v>
      </c>
      <c r="L5" s="74"/>
      <c r="M5" s="71" t="s">
        <v>155</v>
      </c>
      <c r="N5" s="71" t="s">
        <v>156</v>
      </c>
      <c r="O5" s="71" t="s">
        <v>157</v>
      </c>
      <c r="P5" s="71" t="s">
        <v>158</v>
      </c>
      <c r="Q5" s="71" t="s">
        <v>109</v>
      </c>
      <c r="R5" s="71" t="s">
        <v>159</v>
      </c>
      <c r="S5" s="71" t="s">
        <v>111</v>
      </c>
      <c r="T5" s="71" t="s">
        <v>146</v>
      </c>
      <c r="U5" s="71" t="s">
        <v>160</v>
      </c>
      <c r="V5" s="71" t="s">
        <v>161</v>
      </c>
      <c r="W5" s="71" t="s">
        <v>114</v>
      </c>
      <c r="X5" s="71" t="s">
        <v>162</v>
      </c>
      <c r="Y5" s="72" t="n">
        <v>4.4</v>
      </c>
      <c r="Z5" s="69" t="n">
        <v>28</v>
      </c>
      <c r="AA5" s="71" t="s">
        <v>163</v>
      </c>
      <c r="AB5" s="71" t="s">
        <v>164</v>
      </c>
      <c r="AC5" s="75" t="s">
        <v>165</v>
      </c>
      <c r="AD5" s="75" t="str">
        <f aca="false">HYPERLINK("https://www.google.com/maps/search/?api=1&amp;query="&amp;AE5&amp;","&amp;AF5,"Abrir mapa")</f>
        <v>Abrir mapa</v>
      </c>
      <c r="AE5" s="71" t="n">
        <v>40.4393521</v>
      </c>
      <c r="AF5" s="71" t="n">
        <v>-3.6315274</v>
      </c>
      <c r="AG5" s="76" t="n">
        <f aca="false">ROUND(F5*Notas!$B$8/Notas!$B$9*60,0)</f>
        <v>8</v>
      </c>
      <c r="AH5" s="77" t="str">
        <f aca="false">HYPERLINK("https://www.google.com/maps/dir/?api=1&amp;origin=Calle+de+Ayala+71,+Madrid&amp;destination="&amp;AE5&amp;","&amp;AF5&amp;"&amp;travelmode=driving","Ver ruta y tiempo")</f>
        <v>Ver ruta y tiempo</v>
      </c>
      <c r="AI5" s="78"/>
      <c r="AJ5" s="77" t="str">
        <f aca="false">IF(AI5="",HYPERLINK("https://www.google.com/search?q=site%3Ainstagram.com+Quinta+de+los+Molinos+by+Elba+bodas","Buscar en Instagram"),HYPERLINK("https://instagram.com/"&amp;SUBSTITUTE(AI5,"@",""),AI5))</f>
        <v>Buscar en Instagram</v>
      </c>
    </row>
    <row r="6" customFormat="false" ht="46.25" hidden="false" customHeight="false" outlineLevel="0" collapsed="false">
      <c r="A6" s="59" t="n">
        <v>5</v>
      </c>
      <c r="B6" s="60" t="s">
        <v>166</v>
      </c>
      <c r="C6" s="61" t="s">
        <v>167</v>
      </c>
      <c r="D6" s="61" t="s">
        <v>168</v>
      </c>
      <c r="E6" s="61" t="s">
        <v>169</v>
      </c>
      <c r="F6" s="62" t="n">
        <f aca="false">ROUND(6371*2*ASIN(SQRT(SIN(RADIANS(AE6-Notas!$B$4)/2)^2+COS(RADIANS(Notas!$B$4))*COS(RADIANS(AE6))*SIN(RADIANS(AF6-Notas!$B$5)/2)^2)),1)</f>
        <v>4.4</v>
      </c>
      <c r="G6" s="59" t="str">
        <f aca="false">IF(F6&lt;=Notas!$B$6,"Sí","No")</f>
        <v>Sí</v>
      </c>
      <c r="H6" s="61" t="s">
        <v>170</v>
      </c>
      <c r="I6" s="63"/>
      <c r="J6" s="63" t="str">
        <f aca="false">IF(ISNUMBER(I6),I6*Notas!$B$7,"")</f>
        <v/>
      </c>
      <c r="K6" s="64"/>
      <c r="L6" s="64" t="n">
        <v>740</v>
      </c>
      <c r="M6" s="61" t="s">
        <v>171</v>
      </c>
      <c r="N6" s="61" t="s">
        <v>172</v>
      </c>
      <c r="O6" s="61" t="s">
        <v>173</v>
      </c>
      <c r="P6" s="61" t="s">
        <v>174</v>
      </c>
      <c r="Q6" s="61" t="s">
        <v>109</v>
      </c>
      <c r="R6" s="61" t="s">
        <v>175</v>
      </c>
      <c r="S6" s="61" t="s">
        <v>176</v>
      </c>
      <c r="T6" s="61" t="s">
        <v>128</v>
      </c>
      <c r="U6" s="61" t="s">
        <v>131</v>
      </c>
      <c r="V6" s="61" t="s">
        <v>112</v>
      </c>
      <c r="W6" s="61" t="s">
        <v>114</v>
      </c>
      <c r="X6" s="61" t="s">
        <v>177</v>
      </c>
      <c r="Y6" s="62" t="n">
        <v>4.4</v>
      </c>
      <c r="Z6" s="59" t="n">
        <v>912</v>
      </c>
      <c r="AA6" s="61" t="s">
        <v>148</v>
      </c>
      <c r="AB6" s="61" t="s">
        <v>178</v>
      </c>
      <c r="AC6" s="65" t="s">
        <v>179</v>
      </c>
      <c r="AD6" s="65" t="str">
        <f aca="false">HYPERLINK("https://www.google.com/maps/search/?api=1&amp;query="&amp;AE6&amp;","&amp;AF6,"Abrir mapa")</f>
        <v>Abrir mapa</v>
      </c>
      <c r="AE6" s="61" t="n">
        <v>40.467403</v>
      </c>
      <c r="AF6" s="61" t="n">
        <v>-3.6787017</v>
      </c>
      <c r="AG6" s="66" t="n">
        <f aca="false">ROUND(F6*Notas!$B$8/Notas!$B$9*60,0)</f>
        <v>9</v>
      </c>
      <c r="AH6" s="67" t="str">
        <f aca="false">HYPERLINK("https://www.google.com/maps/dir/?api=1&amp;origin=Calle+de+Ayala+71,+Madrid&amp;destination="&amp;AE6&amp;","&amp;AF6&amp;"&amp;travelmode=driving","Ver ruta y tiempo")</f>
        <v>Ver ruta y tiempo</v>
      </c>
      <c r="AI6" s="68"/>
      <c r="AJ6" s="67" t="str">
        <f aca="false">IF(AI6="",HYPERLINK("https://www.google.com/search?q=site%3Ainstagram.com+Palacete+%2F+Complejo+Duques+de+Pastrana+bodas","Buscar en Instagram"),HYPERLINK("https://instagram.com/"&amp;SUBSTITUTE(AI6,"@",""),AI6))</f>
        <v>Buscar en Instagram</v>
      </c>
    </row>
    <row r="7" customFormat="false" ht="35.05" hidden="false" customHeight="false" outlineLevel="0" collapsed="false">
      <c r="A7" s="69" t="n">
        <v>6</v>
      </c>
      <c r="B7" s="70" t="s">
        <v>180</v>
      </c>
      <c r="C7" s="71" t="s">
        <v>181</v>
      </c>
      <c r="D7" s="71" t="s">
        <v>182</v>
      </c>
      <c r="E7" s="71" t="s">
        <v>183</v>
      </c>
      <c r="F7" s="72" t="n">
        <f aca="false">ROUND(6371*2*ASIN(SQRT(SIN(RADIANS(AE7-Notas!$B$4)/2)^2+COS(RADIANS(Notas!$B$4))*COS(RADIANS(AE7))*SIN(RADIANS(AF7-Notas!$B$5)/2)^2)),1)</f>
        <v>4.7</v>
      </c>
      <c r="G7" s="69" t="str">
        <f aca="false">IF(F7&lt;=Notas!$B$6,"Sí","No")</f>
        <v>Sí</v>
      </c>
      <c r="H7" s="71" t="s">
        <v>184</v>
      </c>
      <c r="I7" s="73" t="n">
        <v>140</v>
      </c>
      <c r="J7" s="73" t="n">
        <f aca="false">IF(ISNUMBER(I7),I7*Notas!$B$7,"")</f>
        <v>16800</v>
      </c>
      <c r="K7" s="74" t="n">
        <v>50</v>
      </c>
      <c r="L7" s="74" t="n">
        <v>700</v>
      </c>
      <c r="M7" s="71" t="s">
        <v>185</v>
      </c>
      <c r="N7" s="71" t="s">
        <v>186</v>
      </c>
      <c r="O7" s="71" t="s">
        <v>143</v>
      </c>
      <c r="P7" s="71" t="s">
        <v>187</v>
      </c>
      <c r="Q7" s="71" t="s">
        <v>109</v>
      </c>
      <c r="R7" s="71" t="s">
        <v>188</v>
      </c>
      <c r="S7" s="71" t="s">
        <v>129</v>
      </c>
      <c r="T7" s="71" t="s">
        <v>145</v>
      </c>
      <c r="U7" s="71" t="s">
        <v>131</v>
      </c>
      <c r="V7" s="71" t="s">
        <v>114</v>
      </c>
      <c r="W7" s="71" t="s">
        <v>114</v>
      </c>
      <c r="X7" s="71" t="s">
        <v>189</v>
      </c>
      <c r="Y7" s="72" t="n">
        <v>4.2</v>
      </c>
      <c r="Z7" s="69" t="n">
        <v>2049</v>
      </c>
      <c r="AA7" s="71" t="s">
        <v>190</v>
      </c>
      <c r="AB7" s="71" t="s">
        <v>191</v>
      </c>
      <c r="AC7" s="75" t="s">
        <v>192</v>
      </c>
      <c r="AD7" s="75" t="str">
        <f aca="false">HYPERLINK("https://www.google.com/maps/search/?api=1&amp;query="&amp;AE7&amp;","&amp;AF7,"Abrir mapa")</f>
        <v>Abrir mapa</v>
      </c>
      <c r="AE7" s="71" t="n">
        <v>40.4398452</v>
      </c>
      <c r="AF7" s="71" t="n">
        <v>-3.7294501</v>
      </c>
      <c r="AG7" s="76" t="n">
        <f aca="false">ROUND(F7*Notas!$B$8/Notas!$B$9*60,0)</f>
        <v>9</v>
      </c>
      <c r="AH7" s="77" t="str">
        <f aca="false">HYPERLINK("https://www.google.com/maps/dir/?api=1&amp;origin=Calle+de+Ayala+71,+Madrid&amp;destination="&amp;AE7&amp;","&amp;AF7&amp;"&amp;travelmode=driving","Ver ruta y tiempo")</f>
        <v>Ver ruta y tiempo</v>
      </c>
      <c r="AI7" s="78"/>
      <c r="AJ7" s="77" t="str">
        <f aca="false">IF(AI7="",HYPERLINK("https://www.google.com/search?q=site%3Ainstagram.com+Caf%C3%A9+de+Oriente+Museo+del+Traje+bodas","Buscar en Instagram"),HYPERLINK("https://instagram.com/"&amp;SUBSTITUTE(AI7,"@",""),AI7))</f>
        <v>Buscar en Instagram</v>
      </c>
    </row>
    <row r="8" customFormat="false" ht="35.05" hidden="false" customHeight="false" outlineLevel="0" collapsed="false">
      <c r="A8" s="59" t="n">
        <v>7</v>
      </c>
      <c r="B8" s="60" t="s">
        <v>193</v>
      </c>
      <c r="C8" s="61" t="s">
        <v>194</v>
      </c>
      <c r="D8" s="61" t="s">
        <v>195</v>
      </c>
      <c r="E8" s="61" t="s">
        <v>196</v>
      </c>
      <c r="F8" s="62" t="n">
        <f aca="false">ROUND(6371*2*ASIN(SQRT(SIN(RADIANS(AE8-Notas!$B$4)/2)^2+COS(RADIANS(Notas!$B$4))*COS(RADIANS(AE8))*SIN(RADIANS(AF8-Notas!$B$5)/2)^2)),1)</f>
        <v>4.9</v>
      </c>
      <c r="G8" s="59" t="str">
        <f aca="false">IF(F8&lt;=Notas!$B$6,"Sí","No")</f>
        <v>Sí</v>
      </c>
      <c r="H8" s="61" t="s">
        <v>197</v>
      </c>
      <c r="I8" s="63" t="n">
        <v>100</v>
      </c>
      <c r="J8" s="63" t="n">
        <f aca="false">IF(ISNUMBER(I8),I8*Notas!$B$7,"")</f>
        <v>12000</v>
      </c>
      <c r="K8" s="64" t="n">
        <v>50</v>
      </c>
      <c r="L8" s="64" t="n">
        <v>350</v>
      </c>
      <c r="M8" s="61" t="s">
        <v>198</v>
      </c>
      <c r="N8" s="61" t="s">
        <v>199</v>
      </c>
      <c r="O8" s="61" t="s">
        <v>143</v>
      </c>
      <c r="P8" s="61" t="s">
        <v>200</v>
      </c>
      <c r="Q8" s="61" t="s">
        <v>109</v>
      </c>
      <c r="R8" s="61" t="s">
        <v>201</v>
      </c>
      <c r="S8" s="61" t="s">
        <v>202</v>
      </c>
      <c r="T8" s="61" t="s">
        <v>203</v>
      </c>
      <c r="U8" s="61" t="s">
        <v>131</v>
      </c>
      <c r="V8" s="61" t="s">
        <v>114</v>
      </c>
      <c r="W8" s="61" t="s">
        <v>114</v>
      </c>
      <c r="X8" s="61" t="s">
        <v>204</v>
      </c>
      <c r="Y8" s="62" t="n">
        <v>4.5</v>
      </c>
      <c r="Z8" s="59" t="n">
        <v>596</v>
      </c>
      <c r="AA8" s="61" t="s">
        <v>205</v>
      </c>
      <c r="AB8" s="61" t="s">
        <v>206</v>
      </c>
      <c r="AC8" s="65" t="s">
        <v>207</v>
      </c>
      <c r="AD8" s="65" t="str">
        <f aca="false">HYPERLINK("https://www.google.com/maps/search/?api=1&amp;query="&amp;AE8&amp;","&amp;AF8,"Abrir mapa")</f>
        <v>Abrir mapa</v>
      </c>
      <c r="AE8" s="61" t="n">
        <v>40.4144639</v>
      </c>
      <c r="AF8" s="61" t="n">
        <v>-3.7308012</v>
      </c>
      <c r="AG8" s="66" t="n">
        <f aca="false">ROUND(F8*Notas!$B$8/Notas!$B$9*60,0)</f>
        <v>10</v>
      </c>
      <c r="AH8" s="67" t="str">
        <f aca="false">HYPERLINK("https://www.google.com/maps/dir/?api=1&amp;origin=Calle+de+Ayala+71,+Madrid&amp;destination="&amp;AE8&amp;","&amp;AF8&amp;"&amp;travelmode=driving","Ver ruta y tiempo")</f>
        <v>Ver ruta y tiempo</v>
      </c>
      <c r="AI8" s="68"/>
      <c r="AJ8" s="67" t="str">
        <f aca="false">IF(AI8="",HYPERLINK("https://www.google.com/search?q=site%3Ainstagram.com+Casa+de+Burgos+bodas","Buscar en Instagram"),HYPERLINK("https://instagram.com/"&amp;SUBSTITUTE(AI8,"@",""),AI8))</f>
        <v>Buscar en Instagram</v>
      </c>
    </row>
    <row r="9" customFormat="false" ht="23.85" hidden="false" customHeight="false" outlineLevel="0" collapsed="false">
      <c r="A9" s="69" t="n">
        <v>8</v>
      </c>
      <c r="B9" s="70" t="s">
        <v>208</v>
      </c>
      <c r="C9" s="71" t="s">
        <v>209</v>
      </c>
      <c r="D9" s="71" t="s">
        <v>210</v>
      </c>
      <c r="E9" s="71" t="s">
        <v>211</v>
      </c>
      <c r="F9" s="72" t="n">
        <f aca="false">ROUND(6371*2*ASIN(SQRT(SIN(RADIANS(AE9-Notas!$B$4)/2)^2+COS(RADIANS(Notas!$B$4))*COS(RADIANS(AE9))*SIN(RADIANS(AF9-Notas!$B$5)/2)^2)),1)</f>
        <v>4.9</v>
      </c>
      <c r="G9" s="69" t="str">
        <f aca="false">IF(F9&lt;=Notas!$B$6,"Sí","No")</f>
        <v>Sí</v>
      </c>
      <c r="H9" s="71" t="s">
        <v>212</v>
      </c>
      <c r="I9" s="73" t="n">
        <v>140</v>
      </c>
      <c r="J9" s="73" t="n">
        <f aca="false">IF(ISNUMBER(I9),I9*Notas!$B$7,"")</f>
        <v>16800</v>
      </c>
      <c r="K9" s="74" t="n">
        <v>60</v>
      </c>
      <c r="L9" s="74" t="n">
        <v>440</v>
      </c>
      <c r="M9" s="71" t="s">
        <v>213</v>
      </c>
      <c r="N9" s="71" t="s">
        <v>214</v>
      </c>
      <c r="O9" s="71" t="s">
        <v>143</v>
      </c>
      <c r="P9" s="71" t="s">
        <v>215</v>
      </c>
      <c r="Q9" s="71" t="s">
        <v>109</v>
      </c>
      <c r="R9" s="71" t="s">
        <v>216</v>
      </c>
      <c r="S9" s="71" t="s">
        <v>129</v>
      </c>
      <c r="T9" s="71" t="s">
        <v>145</v>
      </c>
      <c r="U9" s="71" t="s">
        <v>131</v>
      </c>
      <c r="V9" s="71" t="s">
        <v>114</v>
      </c>
      <c r="W9" s="71" t="s">
        <v>114</v>
      </c>
      <c r="X9" s="71" t="s">
        <v>217</v>
      </c>
      <c r="Y9" s="72" t="n">
        <v>4.5</v>
      </c>
      <c r="Z9" s="69" t="n">
        <v>1105</v>
      </c>
      <c r="AA9" s="71" t="s">
        <v>218</v>
      </c>
      <c r="AB9" s="71" t="s">
        <v>219</v>
      </c>
      <c r="AC9" s="75" t="s">
        <v>220</v>
      </c>
      <c r="AD9" s="75" t="str">
        <f aca="false">HYPERLINK("https://www.google.com/maps/search/?api=1&amp;query="&amp;AE9&amp;","&amp;AF9,"Abrir mapa")</f>
        <v>Abrir mapa</v>
      </c>
      <c r="AE9" s="71" t="n">
        <v>40.4152413</v>
      </c>
      <c r="AF9" s="71" t="n">
        <v>-3.7311611</v>
      </c>
      <c r="AG9" s="76" t="n">
        <f aca="false">ROUND(F9*Notas!$B$8/Notas!$B$9*60,0)</f>
        <v>10</v>
      </c>
      <c r="AH9" s="77" t="str">
        <f aca="false">HYPERLINK("https://www.google.com/maps/dir/?api=1&amp;origin=Calle+de+Ayala+71,+Madrid&amp;destination="&amp;AE9&amp;","&amp;AF9&amp;"&amp;travelmode=driving","Ver ruta y tiempo")</f>
        <v>Ver ruta y tiempo</v>
      </c>
      <c r="AI9" s="78"/>
      <c r="AJ9" s="77" t="str">
        <f aca="false">IF(AI9="",HYPERLINK("https://www.google.com/search?q=site%3Ainstagram.com+La+Mas%C3%ADa+de+Jos%C3%A9+Luis+bodas","Buscar en Instagram"),HYPERLINK("https://instagram.com/"&amp;SUBSTITUTE(AI9,"@",""),AI9))</f>
        <v>Buscar en Instagram</v>
      </c>
    </row>
    <row r="10" customFormat="false" ht="57.45" hidden="false" customHeight="false" outlineLevel="0" collapsed="false">
      <c r="A10" s="59" t="n">
        <v>9</v>
      </c>
      <c r="B10" s="60" t="s">
        <v>221</v>
      </c>
      <c r="C10" s="61" t="s">
        <v>222</v>
      </c>
      <c r="D10" s="61" t="s">
        <v>223</v>
      </c>
      <c r="E10" s="61" t="s">
        <v>224</v>
      </c>
      <c r="F10" s="62" t="n">
        <f aca="false">ROUND(6371*2*ASIN(SQRT(SIN(RADIANS(AE10-Notas!$B$4)/2)^2+COS(RADIANS(Notas!$B$4))*COS(RADIANS(AE10))*SIN(RADIANS(AF10-Notas!$B$5)/2)^2)),1)</f>
        <v>5.8</v>
      </c>
      <c r="G10" s="59" t="str">
        <f aca="false">IF(F10&lt;=Notas!$B$6,"Sí","No")</f>
        <v>Sí</v>
      </c>
      <c r="H10" s="61" t="s">
        <v>225</v>
      </c>
      <c r="I10" s="63"/>
      <c r="J10" s="63" t="str">
        <f aca="false">IF(ISNUMBER(I10),I10*Notas!$B$7,"")</f>
        <v/>
      </c>
      <c r="K10" s="64"/>
      <c r="L10" s="64"/>
      <c r="M10" s="61" t="s">
        <v>105</v>
      </c>
      <c r="N10" s="61" t="s">
        <v>226</v>
      </c>
      <c r="O10" s="61" t="s">
        <v>227</v>
      </c>
      <c r="P10" s="61" t="s">
        <v>228</v>
      </c>
      <c r="Q10" s="61" t="s">
        <v>109</v>
      </c>
      <c r="R10" s="61" t="s">
        <v>229</v>
      </c>
      <c r="S10" s="61" t="s">
        <v>129</v>
      </c>
      <c r="T10" s="61" t="s">
        <v>145</v>
      </c>
      <c r="U10" s="61" t="s">
        <v>131</v>
      </c>
      <c r="V10" s="61" t="s">
        <v>230</v>
      </c>
      <c r="W10" s="61" t="s">
        <v>231</v>
      </c>
      <c r="X10" s="61" t="s">
        <v>232</v>
      </c>
      <c r="Y10" s="62" t="n">
        <v>4.3</v>
      </c>
      <c r="Z10" s="59" t="n">
        <v>891</v>
      </c>
      <c r="AA10" s="61" t="s">
        <v>148</v>
      </c>
      <c r="AB10" s="61" t="s">
        <v>148</v>
      </c>
      <c r="AC10" s="65" t="s">
        <v>233</v>
      </c>
      <c r="AD10" s="65" t="str">
        <f aca="false">HYPERLINK("https://www.google.com/maps/search/?api=1&amp;query="&amp;AE10&amp;","&amp;AF10,"Abrir mapa")</f>
        <v>Abrir mapa</v>
      </c>
      <c r="AE10" s="61" t="n">
        <v>40.4387283</v>
      </c>
      <c r="AF10" s="61" t="n">
        <v>-3.742673</v>
      </c>
      <c r="AG10" s="66" t="n">
        <f aca="false">ROUND(F10*Notas!$B$8/Notas!$B$9*60,0)</f>
        <v>11</v>
      </c>
      <c r="AH10" s="67" t="str">
        <f aca="false">HYPERLINK("https://www.google.com/maps/dir/?api=1&amp;origin=Calle+de+Ayala+71,+Madrid&amp;destination="&amp;AE10&amp;","&amp;AF10&amp;"&amp;travelmode=driving","Ver ruta y tiempo")</f>
        <v>Ver ruta y tiempo</v>
      </c>
      <c r="AI10" s="68"/>
      <c r="AJ10" s="67" t="str">
        <f aca="false">IF(AI10="",HYPERLINK("https://www.google.com/search?q=site%3Ainstagram.com+Club+de+Campo+Villa+de+Madrid+bodas","Buscar en Instagram"),HYPERLINK("https://instagram.com/"&amp;SUBSTITUTE(AI10,"@",""),AI10))</f>
        <v>Buscar en Instagram</v>
      </c>
    </row>
    <row r="11" customFormat="false" ht="23.85" hidden="false" customHeight="false" outlineLevel="0" collapsed="false">
      <c r="A11" s="69" t="n">
        <v>10</v>
      </c>
      <c r="B11" s="70" t="s">
        <v>234</v>
      </c>
      <c r="C11" s="71" t="s">
        <v>235</v>
      </c>
      <c r="D11" s="71" t="s">
        <v>236</v>
      </c>
      <c r="E11" s="71" t="s">
        <v>237</v>
      </c>
      <c r="F11" s="72" t="n">
        <f aca="false">ROUND(6371*2*ASIN(SQRT(SIN(RADIANS(AE11-Notas!$B$4)/2)^2+COS(RADIANS(Notas!$B$4))*COS(RADIANS(AE11))*SIN(RADIANS(AF11-Notas!$B$5)/2)^2)),1)</f>
        <v>7.2</v>
      </c>
      <c r="G11" s="69" t="str">
        <f aca="false">IF(F11&lt;=Notas!$B$6,"Sí","No")</f>
        <v>Sí</v>
      </c>
      <c r="H11" s="71" t="s">
        <v>238</v>
      </c>
      <c r="I11" s="73" t="n">
        <v>99</v>
      </c>
      <c r="J11" s="73" t="n">
        <f aca="false">IF(ISNUMBER(I11),I11*Notas!$B$7,"")</f>
        <v>11880</v>
      </c>
      <c r="K11" s="74" t="n">
        <v>50</v>
      </c>
      <c r="L11" s="74" t="n">
        <v>520</v>
      </c>
      <c r="M11" s="71" t="s">
        <v>239</v>
      </c>
      <c r="N11" s="71" t="s">
        <v>240</v>
      </c>
      <c r="O11" s="71" t="s">
        <v>143</v>
      </c>
      <c r="P11" s="71" t="s">
        <v>241</v>
      </c>
      <c r="Q11" s="71" t="s">
        <v>109</v>
      </c>
      <c r="R11" s="71" t="s">
        <v>242</v>
      </c>
      <c r="S11" s="71" t="s">
        <v>129</v>
      </c>
      <c r="T11" s="71" t="s">
        <v>243</v>
      </c>
      <c r="U11" s="71" t="s">
        <v>131</v>
      </c>
      <c r="V11" s="71" t="s">
        <v>112</v>
      </c>
      <c r="W11" s="71" t="s">
        <v>114</v>
      </c>
      <c r="X11" s="71" t="s">
        <v>244</v>
      </c>
      <c r="Y11" s="72" t="n">
        <v>4.1</v>
      </c>
      <c r="Z11" s="69" t="n">
        <v>83</v>
      </c>
      <c r="AA11" s="71" t="s">
        <v>245</v>
      </c>
      <c r="AB11" s="71" t="s">
        <v>148</v>
      </c>
      <c r="AC11" s="75" t="s">
        <v>246</v>
      </c>
      <c r="AD11" s="75" t="str">
        <f aca="false">HYPERLINK("https://www.google.com/maps/search/?api=1&amp;query="&amp;AE11&amp;","&amp;AF11,"Abrir mapa")</f>
        <v>Abrir mapa</v>
      </c>
      <c r="AE11" s="71" t="n">
        <v>40.4693525</v>
      </c>
      <c r="AF11" s="71" t="n">
        <v>-3.6104488</v>
      </c>
      <c r="AG11" s="76" t="n">
        <f aca="false">ROUND(F11*Notas!$B$8/Notas!$B$9*60,0)</f>
        <v>14</v>
      </c>
      <c r="AH11" s="77" t="str">
        <f aca="false">HYPERLINK("https://www.google.com/maps/dir/?api=1&amp;origin=Calle+de+Ayala+71,+Madrid&amp;destination="&amp;AE11&amp;","&amp;AF11&amp;"&amp;travelmode=driving","Ver ruta y tiempo")</f>
        <v>Ver ruta y tiempo</v>
      </c>
      <c r="AI11" s="78"/>
      <c r="AJ11" s="77" t="str">
        <f aca="false">IF(AI11="",HYPERLINK("https://www.google.com/search?q=site%3Ainstagram.com+Mirador+del+Olivar+bodas","Buscar en Instagram"),HYPERLINK("https://instagram.com/"&amp;SUBSTITUTE(AI11,"@",""),AI11))</f>
        <v>Buscar en Instagram</v>
      </c>
    </row>
    <row r="12" customFormat="false" ht="35.05" hidden="false" customHeight="false" outlineLevel="0" collapsed="false">
      <c r="A12" s="59" t="n">
        <v>11</v>
      </c>
      <c r="B12" s="60" t="s">
        <v>247</v>
      </c>
      <c r="C12" s="61" t="s">
        <v>248</v>
      </c>
      <c r="D12" s="61" t="s">
        <v>249</v>
      </c>
      <c r="E12" s="61" t="s">
        <v>250</v>
      </c>
      <c r="F12" s="62" t="n">
        <f aca="false">ROUND(6371*2*ASIN(SQRT(SIN(RADIANS(AE12-Notas!$B$4)/2)^2+COS(RADIANS(Notas!$B$4))*COS(RADIANS(AE12))*SIN(RADIANS(AF12-Notas!$B$5)/2)^2)),1)</f>
        <v>8.9</v>
      </c>
      <c r="G12" s="59" t="str">
        <f aca="false">IF(F12&lt;=Notas!$B$6,"Sí","No")</f>
        <v>Sí</v>
      </c>
      <c r="H12" s="61" t="s">
        <v>251</v>
      </c>
      <c r="I12" s="63" t="n">
        <v>130</v>
      </c>
      <c r="J12" s="63" t="n">
        <f aca="false">IF(ISNUMBER(I12),I12*Notas!$B$7,"")</f>
        <v>15600</v>
      </c>
      <c r="K12" s="64" t="n">
        <v>80</v>
      </c>
      <c r="L12" s="64" t="n">
        <v>600</v>
      </c>
      <c r="M12" s="61" t="s">
        <v>252</v>
      </c>
      <c r="N12" s="61" t="s">
        <v>253</v>
      </c>
      <c r="O12" s="61" t="s">
        <v>254</v>
      </c>
      <c r="P12" s="61" t="s">
        <v>255</v>
      </c>
      <c r="Q12" s="61" t="s">
        <v>109</v>
      </c>
      <c r="R12" s="61" t="s">
        <v>256</v>
      </c>
      <c r="S12" s="61" t="s">
        <v>257</v>
      </c>
      <c r="T12" s="61" t="s">
        <v>258</v>
      </c>
      <c r="U12" s="61" t="s">
        <v>131</v>
      </c>
      <c r="V12" s="61" t="s">
        <v>112</v>
      </c>
      <c r="W12" s="61" t="s">
        <v>259</v>
      </c>
      <c r="X12" s="61" t="s">
        <v>260</v>
      </c>
      <c r="Y12" s="62" t="n">
        <v>4.3</v>
      </c>
      <c r="Z12" s="59" t="n">
        <v>1436</v>
      </c>
      <c r="AA12" s="61" t="s">
        <v>261</v>
      </c>
      <c r="AB12" s="61" t="s">
        <v>262</v>
      </c>
      <c r="AC12" s="65" t="s">
        <v>263</v>
      </c>
      <c r="AD12" s="65" t="str">
        <f aca="false">HYPERLINK("https://www.google.com/maps/search/?api=1&amp;query="&amp;AE12&amp;","&amp;AF12,"Abrir mapa")</f>
        <v>Abrir mapa</v>
      </c>
      <c r="AE12" s="61" t="n">
        <v>40.488892</v>
      </c>
      <c r="AF12" s="61" t="n">
        <v>-3.7435091</v>
      </c>
      <c r="AG12" s="66" t="n">
        <f aca="false">ROUND(F12*Notas!$B$8/Notas!$B$9*60,0)</f>
        <v>17</v>
      </c>
      <c r="AH12" s="67" t="str">
        <f aca="false">HYPERLINK("https://www.google.com/maps/dir/?api=1&amp;origin=Calle+de+Ayala+71,+Madrid&amp;destination="&amp;AE12&amp;","&amp;AF12&amp;"&amp;travelmode=driving","Ver ruta y tiempo")</f>
        <v>Ver ruta y tiempo</v>
      </c>
      <c r="AI12" s="68"/>
      <c r="AJ12" s="67" t="str">
        <f aca="false">IF(AI12="",HYPERLINK("https://www.google.com/search?q=site%3Ainstagram.com+Club+de+Tiro+de+Madrid+bodas","Buscar en Instagram"),HYPERLINK("https://instagram.com/"&amp;SUBSTITUTE(AI12,"@",""),AI12))</f>
        <v>Buscar en Instagram</v>
      </c>
    </row>
    <row r="13" customFormat="false" ht="23.85" hidden="false" customHeight="false" outlineLevel="0" collapsed="false">
      <c r="A13" s="69" t="n">
        <v>12</v>
      </c>
      <c r="B13" s="70" t="s">
        <v>264</v>
      </c>
      <c r="C13" s="71" t="s">
        <v>265</v>
      </c>
      <c r="D13" s="71" t="s">
        <v>266</v>
      </c>
      <c r="E13" s="71" t="s">
        <v>267</v>
      </c>
      <c r="F13" s="72" t="n">
        <f aca="false">ROUND(6371*2*ASIN(SQRT(SIN(RADIANS(AE13-Notas!$B$4)/2)^2+COS(RADIANS(Notas!$B$4))*COS(RADIANS(AE13))*SIN(RADIANS(AF13-Notas!$B$5)/2)^2)),1)</f>
        <v>9.5</v>
      </c>
      <c r="G13" s="69" t="str">
        <f aca="false">IF(F13&lt;=Notas!$B$6,"Sí","No")</f>
        <v>Sí</v>
      </c>
      <c r="H13" s="71" t="s">
        <v>268</v>
      </c>
      <c r="I13" s="73" t="n">
        <v>120</v>
      </c>
      <c r="J13" s="73" t="n">
        <f aca="false">IF(ISNUMBER(I13),I13*Notas!$B$7,"")</f>
        <v>14400</v>
      </c>
      <c r="K13" s="74" t="n">
        <v>20</v>
      </c>
      <c r="L13" s="74" t="n">
        <v>350</v>
      </c>
      <c r="M13" s="71" t="s">
        <v>269</v>
      </c>
      <c r="N13" s="71" t="s">
        <v>270</v>
      </c>
      <c r="O13" s="71" t="s">
        <v>271</v>
      </c>
      <c r="P13" s="71" t="s">
        <v>272</v>
      </c>
      <c r="Q13" s="71" t="s">
        <v>109</v>
      </c>
      <c r="R13" s="71" t="s">
        <v>128</v>
      </c>
      <c r="S13" s="71" t="s">
        <v>129</v>
      </c>
      <c r="T13" s="71" t="s">
        <v>273</v>
      </c>
      <c r="U13" s="71" t="s">
        <v>131</v>
      </c>
      <c r="V13" s="71" t="s">
        <v>112</v>
      </c>
      <c r="W13" s="71" t="s">
        <v>114</v>
      </c>
      <c r="X13" s="71" t="s">
        <v>274</v>
      </c>
      <c r="Y13" s="72" t="n">
        <v>4.4</v>
      </c>
      <c r="Z13" s="69" t="n">
        <v>2647</v>
      </c>
      <c r="AA13" s="71" t="s">
        <v>275</v>
      </c>
      <c r="AB13" s="71" t="s">
        <v>276</v>
      </c>
      <c r="AC13" s="75" t="s">
        <v>277</v>
      </c>
      <c r="AD13" s="75" t="str">
        <f aca="false">HYPERLINK("https://www.google.com/maps/search/?api=1&amp;query="&amp;AE13&amp;","&amp;AF13,"Abrir mapa")</f>
        <v>Abrir mapa</v>
      </c>
      <c r="AE13" s="71" t="n">
        <v>40.3927339</v>
      </c>
      <c r="AF13" s="71" t="n">
        <v>-3.5741806</v>
      </c>
      <c r="AG13" s="76" t="n">
        <f aca="false">ROUND(F13*Notas!$B$8/Notas!$B$9*60,0)</f>
        <v>19</v>
      </c>
      <c r="AH13" s="77" t="str">
        <f aca="false">HYPERLINK("https://www.google.com/maps/dir/?api=1&amp;origin=Calle+de+Ayala+71,+Madrid&amp;destination="&amp;AE13&amp;","&amp;AF13&amp;"&amp;travelmode=driving","Ver ruta y tiempo")</f>
        <v>Ver ruta y tiempo</v>
      </c>
      <c r="AI13" s="78"/>
      <c r="AJ13" s="77" t="str">
        <f aca="false">IF(AI13="",HYPERLINK("https://www.google.com/search?q=site%3Ainstagram.com+Fuentearcos+bodas","Buscar en Instagram"),HYPERLINK("https://instagram.com/"&amp;SUBSTITUTE(AI13,"@",""),AI13))</f>
        <v>Buscar en Instagram</v>
      </c>
    </row>
    <row r="14" customFormat="false" ht="35.05" hidden="false" customHeight="false" outlineLevel="0" collapsed="false">
      <c r="A14" s="59" t="n">
        <v>13</v>
      </c>
      <c r="B14" s="60" t="s">
        <v>278</v>
      </c>
      <c r="C14" s="61" t="s">
        <v>279</v>
      </c>
      <c r="D14" s="61" t="s">
        <v>280</v>
      </c>
      <c r="E14" s="61" t="s">
        <v>281</v>
      </c>
      <c r="F14" s="62" t="n">
        <f aca="false">ROUND(6371*2*ASIN(SQRT(SIN(RADIANS(AE14-Notas!$B$4)/2)^2+COS(RADIANS(Notas!$B$4))*COS(RADIANS(AE14))*SIN(RADIANS(AF14-Notas!$B$5)/2)^2)),1)</f>
        <v>9.7</v>
      </c>
      <c r="G14" s="59" t="str">
        <f aca="false">IF(F14&lt;=Notas!$B$6,"Sí","No")</f>
        <v>Sí</v>
      </c>
      <c r="H14" s="61" t="s">
        <v>282</v>
      </c>
      <c r="I14" s="63" t="n">
        <v>90</v>
      </c>
      <c r="J14" s="63" t="n">
        <f aca="false">IF(ISNUMBER(I14),I14*Notas!$B$7,"")</f>
        <v>10800</v>
      </c>
      <c r="K14" s="64" t="n">
        <v>50</v>
      </c>
      <c r="L14" s="64" t="n">
        <v>300</v>
      </c>
      <c r="M14" s="61" t="s">
        <v>283</v>
      </c>
      <c r="N14" s="61" t="s">
        <v>270</v>
      </c>
      <c r="O14" s="61" t="s">
        <v>143</v>
      </c>
      <c r="P14" s="61" t="s">
        <v>284</v>
      </c>
      <c r="Q14" s="61" t="s">
        <v>109</v>
      </c>
      <c r="R14" s="61" t="s">
        <v>285</v>
      </c>
      <c r="S14" s="61" t="s">
        <v>111</v>
      </c>
      <c r="T14" s="61" t="s">
        <v>146</v>
      </c>
      <c r="U14" s="61" t="s">
        <v>286</v>
      </c>
      <c r="V14" s="61" t="s">
        <v>112</v>
      </c>
      <c r="W14" s="61" t="s">
        <v>114</v>
      </c>
      <c r="X14" s="61" t="s">
        <v>287</v>
      </c>
      <c r="Y14" s="62" t="n">
        <v>4.4</v>
      </c>
      <c r="Z14" s="59" t="n">
        <v>2451</v>
      </c>
      <c r="AA14" s="61" t="s">
        <v>288</v>
      </c>
      <c r="AB14" s="61" t="s">
        <v>289</v>
      </c>
      <c r="AC14" s="65" t="s">
        <v>290</v>
      </c>
      <c r="AD14" s="65" t="str">
        <f aca="false">HYPERLINK("https://www.google.com/maps/search/?api=1&amp;query="&amp;AE14&amp;","&amp;AF14,"Abrir mapa")</f>
        <v>Abrir mapa</v>
      </c>
      <c r="AE14" s="61" t="n">
        <v>40.3483653</v>
      </c>
      <c r="AF14" s="61" t="n">
        <v>-3.7242015</v>
      </c>
      <c r="AG14" s="66" t="n">
        <f aca="false">ROUND(F14*Notas!$B$8/Notas!$B$9*60,0)</f>
        <v>19</v>
      </c>
      <c r="AH14" s="67" t="str">
        <f aca="false">HYPERLINK("https://www.google.com/maps/dir/?api=1&amp;origin=Calle+de+Ayala+71,+Madrid&amp;destination="&amp;AE14&amp;","&amp;AF14&amp;"&amp;travelmode=driving","Ver ruta y tiempo")</f>
        <v>Ver ruta y tiempo</v>
      </c>
      <c r="AI14" s="68"/>
      <c r="AJ14" s="67" t="str">
        <f aca="false">IF(AI14="",HYPERLINK("https://www.google.com/search?q=site%3Ainstagram.com+Finca+Solimpar+bodas","Buscar en Instagram"),HYPERLINK("https://instagram.com/"&amp;SUBSTITUTE(AI14,"@",""),AI14))</f>
        <v>Buscar en Instagram</v>
      </c>
    </row>
    <row r="15" customFormat="false" ht="35.05" hidden="false" customHeight="false" outlineLevel="0" collapsed="false">
      <c r="A15" s="69" t="n">
        <v>14</v>
      </c>
      <c r="B15" s="70" t="s">
        <v>291</v>
      </c>
      <c r="C15" s="71" t="s">
        <v>292</v>
      </c>
      <c r="D15" s="71" t="s">
        <v>293</v>
      </c>
      <c r="E15" s="71" t="s">
        <v>294</v>
      </c>
      <c r="F15" s="72" t="n">
        <f aca="false">ROUND(6371*2*ASIN(SQRT(SIN(RADIANS(AE15-Notas!$B$4)/2)^2+COS(RADIANS(Notas!$B$4))*COS(RADIANS(AE15))*SIN(RADIANS(AF15-Notas!$B$5)/2)^2)),1)</f>
        <v>9.7</v>
      </c>
      <c r="G15" s="69" t="str">
        <f aca="false">IF(F15&lt;=Notas!$B$6,"Sí","No")</f>
        <v>Sí</v>
      </c>
      <c r="H15" s="71" t="s">
        <v>295</v>
      </c>
      <c r="I15" s="73"/>
      <c r="J15" s="73" t="str">
        <f aca="false">IF(ISNUMBER(I15),I15*Notas!$B$7,"")</f>
        <v/>
      </c>
      <c r="K15" s="74" t="n">
        <v>150</v>
      </c>
      <c r="L15" s="74" t="n">
        <v>400</v>
      </c>
      <c r="M15" s="71" t="s">
        <v>296</v>
      </c>
      <c r="N15" s="71" t="s">
        <v>297</v>
      </c>
      <c r="O15" s="71" t="s">
        <v>298</v>
      </c>
      <c r="P15" s="71" t="s">
        <v>299</v>
      </c>
      <c r="Q15" s="71" t="s">
        <v>109</v>
      </c>
      <c r="R15" s="71" t="s">
        <v>300</v>
      </c>
      <c r="S15" s="71" t="s">
        <v>129</v>
      </c>
      <c r="T15" s="71" t="s">
        <v>301</v>
      </c>
      <c r="U15" s="71" t="s">
        <v>131</v>
      </c>
      <c r="V15" s="71" t="s">
        <v>114</v>
      </c>
      <c r="W15" s="71" t="s">
        <v>114</v>
      </c>
      <c r="X15" s="71" t="s">
        <v>302</v>
      </c>
      <c r="Y15" s="72" t="n">
        <v>4.5</v>
      </c>
      <c r="Z15" s="69" t="n">
        <v>19</v>
      </c>
      <c r="AA15" s="71" t="s">
        <v>148</v>
      </c>
      <c r="AB15" s="71" t="s">
        <v>303</v>
      </c>
      <c r="AC15" s="75" t="s">
        <v>304</v>
      </c>
      <c r="AD15" s="75" t="str">
        <f aca="false">HYPERLINK("https://www.google.com/maps/search/?api=1&amp;query="&amp;AE15&amp;","&amp;AF15,"Abrir mapa")</f>
        <v>Abrir mapa</v>
      </c>
      <c r="AE15" s="71" t="n">
        <v>40.4896104</v>
      </c>
      <c r="AF15" s="71" t="n">
        <v>-3.756931</v>
      </c>
      <c r="AG15" s="76" t="n">
        <f aca="false">ROUND(F15*Notas!$B$8/Notas!$B$9*60,0)</f>
        <v>19</v>
      </c>
      <c r="AH15" s="77" t="str">
        <f aca="false">HYPERLINK("https://www.google.com/maps/dir/?api=1&amp;origin=Calle+de+Ayala+71,+Madrid&amp;destination="&amp;AE15&amp;","&amp;AF15&amp;"&amp;travelmode=driving","Ver ruta y tiempo")</f>
        <v>Ver ruta y tiempo</v>
      </c>
      <c r="AI15" s="78"/>
      <c r="AJ15" s="77" t="str">
        <f aca="false">IF(AI15="",HYPERLINK("https://www.google.com/search?q=site%3Ainstagram.com+El+Jard%C3%ADn+de+Somontes++Eventos+Somontes+bodas","Buscar en Instagram"),HYPERLINK("https://instagram.com/"&amp;SUBSTITUTE(AI15,"@",""),AI15))</f>
        <v>Buscar en Instagram</v>
      </c>
    </row>
    <row r="16" customFormat="false" ht="35.05" hidden="false" customHeight="false" outlineLevel="0" collapsed="false">
      <c r="A16" s="59" t="n">
        <v>15</v>
      </c>
      <c r="B16" s="60" t="s">
        <v>305</v>
      </c>
      <c r="C16" s="61" t="s">
        <v>306</v>
      </c>
      <c r="D16" s="61" t="s">
        <v>307</v>
      </c>
      <c r="E16" s="61" t="s">
        <v>308</v>
      </c>
      <c r="F16" s="62" t="n">
        <f aca="false">ROUND(6371*2*ASIN(SQRT(SIN(RADIANS(AE16-Notas!$B$4)/2)^2+COS(RADIANS(Notas!$B$4))*COS(RADIANS(AE16))*SIN(RADIANS(AF16-Notas!$B$5)/2)^2)),1)</f>
        <v>9.8</v>
      </c>
      <c r="G16" s="59" t="str">
        <f aca="false">IF(F16&lt;=Notas!$B$6,"Sí","No")</f>
        <v>Sí</v>
      </c>
      <c r="H16" s="61" t="s">
        <v>309</v>
      </c>
      <c r="I16" s="63" t="n">
        <v>185</v>
      </c>
      <c r="J16" s="63" t="n">
        <f aca="false">IF(ISNUMBER(I16),I16*Notas!$B$7,"")</f>
        <v>22200</v>
      </c>
      <c r="K16" s="64" t="n">
        <v>50</v>
      </c>
      <c r="L16" s="64" t="n">
        <v>600</v>
      </c>
      <c r="M16" s="61" t="s">
        <v>310</v>
      </c>
      <c r="N16" s="61" t="s">
        <v>311</v>
      </c>
      <c r="O16" s="61" t="s">
        <v>312</v>
      </c>
      <c r="P16" s="61" t="s">
        <v>313</v>
      </c>
      <c r="Q16" s="61" t="s">
        <v>109</v>
      </c>
      <c r="R16" s="61" t="s">
        <v>128</v>
      </c>
      <c r="S16" s="61" t="s">
        <v>129</v>
      </c>
      <c r="T16" s="61" t="s">
        <v>146</v>
      </c>
      <c r="U16" s="61" t="s">
        <v>131</v>
      </c>
      <c r="V16" s="61" t="s">
        <v>314</v>
      </c>
      <c r="W16" s="61" t="s">
        <v>114</v>
      </c>
      <c r="X16" s="61" t="s">
        <v>315</v>
      </c>
      <c r="Y16" s="62" t="n">
        <v>4.5</v>
      </c>
      <c r="Z16" s="59" t="n">
        <v>1203</v>
      </c>
      <c r="AA16" s="61" t="s">
        <v>316</v>
      </c>
      <c r="AB16" s="61" t="s">
        <v>317</v>
      </c>
      <c r="AC16" s="65" t="s">
        <v>318</v>
      </c>
      <c r="AD16" s="65" t="str">
        <f aca="false">HYPERLINK("https://www.google.com/maps/search/?api=1&amp;query="&amp;AE16&amp;","&amp;AF16,"Abrir mapa")</f>
        <v>Abrir mapa</v>
      </c>
      <c r="AE16" s="61" t="n">
        <v>40.4652023</v>
      </c>
      <c r="AF16" s="61" t="n">
        <v>-3.780812</v>
      </c>
      <c r="AG16" s="66" t="n">
        <f aca="false">ROUND(F16*Notas!$B$8/Notas!$B$9*60,0)</f>
        <v>19</v>
      </c>
      <c r="AH16" s="67" t="str">
        <f aca="false">HYPERLINK("https://www.google.com/maps/dir/?api=1&amp;origin=Calle+de+Ayala+71,+Madrid&amp;destination="&amp;AE16&amp;","&amp;AF16&amp;"&amp;travelmode=driving","Ver ruta y tiempo")</f>
        <v>Ver ruta y tiempo</v>
      </c>
      <c r="AI16" s="68"/>
      <c r="AJ16" s="67" t="str">
        <f aca="false">IF(AI16="",HYPERLINK("https://www.google.com/search?q=site%3Ainstagram.com+La+Casa+de+M%C3%B3nico+bodas","Buscar en Instagram"),HYPERLINK("https://instagram.com/"&amp;SUBSTITUTE(AI16,"@",""),AI16))</f>
        <v>Buscar en Instagram</v>
      </c>
    </row>
    <row r="17" customFormat="false" ht="35.05" hidden="false" customHeight="false" outlineLevel="0" collapsed="false">
      <c r="A17" s="69" t="n">
        <v>16</v>
      </c>
      <c r="B17" s="70" t="s">
        <v>319</v>
      </c>
      <c r="C17" s="71" t="s">
        <v>320</v>
      </c>
      <c r="D17" s="71" t="s">
        <v>307</v>
      </c>
      <c r="E17" s="71" t="s">
        <v>321</v>
      </c>
      <c r="F17" s="72" t="n">
        <f aca="false">ROUND(6371*2*ASIN(SQRT(SIN(RADIANS(AE17-Notas!$B$4)/2)^2+COS(RADIANS(Notas!$B$4))*COS(RADIANS(AE17))*SIN(RADIANS(AF17-Notas!$B$5)/2)^2)),1)</f>
        <v>9.8</v>
      </c>
      <c r="G17" s="69" t="str">
        <f aca="false">IF(F17&lt;=Notas!$B$6,"Sí","No")</f>
        <v>Sí</v>
      </c>
      <c r="H17" s="71" t="s">
        <v>170</v>
      </c>
      <c r="I17" s="73"/>
      <c r="J17" s="73" t="str">
        <f aca="false">IF(ISNUMBER(I17),I17*Notas!$B$7,"")</f>
        <v/>
      </c>
      <c r="K17" s="74"/>
      <c r="L17" s="74" t="n">
        <v>500</v>
      </c>
      <c r="M17" s="71" t="s">
        <v>322</v>
      </c>
      <c r="N17" s="71" t="s">
        <v>323</v>
      </c>
      <c r="O17" s="71" t="s">
        <v>126</v>
      </c>
      <c r="P17" s="71" t="s">
        <v>324</v>
      </c>
      <c r="Q17" s="71" t="s">
        <v>109</v>
      </c>
      <c r="R17" s="71" t="s">
        <v>325</v>
      </c>
      <c r="S17" s="71" t="s">
        <v>129</v>
      </c>
      <c r="T17" s="71" t="s">
        <v>146</v>
      </c>
      <c r="U17" s="71" t="s">
        <v>131</v>
      </c>
      <c r="V17" s="71" t="s">
        <v>114</v>
      </c>
      <c r="W17" s="71" t="s">
        <v>114</v>
      </c>
      <c r="X17" s="71" t="s">
        <v>326</v>
      </c>
      <c r="Y17" s="72" t="n">
        <v>4.4</v>
      </c>
      <c r="Z17" s="69" t="n">
        <v>193</v>
      </c>
      <c r="AA17" s="71" t="s">
        <v>148</v>
      </c>
      <c r="AB17" s="71" t="s">
        <v>327</v>
      </c>
      <c r="AC17" s="75" t="s">
        <v>328</v>
      </c>
      <c r="AD17" s="75" t="str">
        <f aca="false">HYPERLINK("https://www.google.com/maps/search/?api=1&amp;query="&amp;AE17&amp;","&amp;AF17,"Abrir mapa")</f>
        <v>Abrir mapa</v>
      </c>
      <c r="AE17" s="71" t="n">
        <v>40.4619832</v>
      </c>
      <c r="AF17" s="71" t="n">
        <v>-3.7827754</v>
      </c>
      <c r="AG17" s="76" t="n">
        <f aca="false">ROUND(F17*Notas!$B$8/Notas!$B$9*60,0)</f>
        <v>19</v>
      </c>
      <c r="AH17" s="77" t="str">
        <f aca="false">HYPERLINK("https://www.google.com/maps/dir/?api=1&amp;origin=Calle+de+Ayala+71,+Madrid&amp;destination="&amp;AE17&amp;","&amp;AF17&amp;"&amp;travelmode=driving","Ver ruta y tiempo")</f>
        <v>Ver ruta y tiempo</v>
      </c>
      <c r="AI17" s="78"/>
      <c r="AJ17" s="77" t="str">
        <f aca="false">IF(AI17="",HYPERLINK("https://www.google.com/search?q=site%3Ainstagram.com+Finca+La+Gaivota+bodas","Buscar en Instagram"),HYPERLINK("https://instagram.com/"&amp;SUBSTITUTE(AI17,"@",""),AI17))</f>
        <v>Buscar en Instagram</v>
      </c>
    </row>
    <row r="18" customFormat="false" ht="35.05" hidden="false" customHeight="false" outlineLevel="0" collapsed="false">
      <c r="A18" s="59" t="n">
        <v>17</v>
      </c>
      <c r="B18" s="60" t="s">
        <v>329</v>
      </c>
      <c r="C18" s="61" t="s">
        <v>330</v>
      </c>
      <c r="D18" s="61" t="s">
        <v>331</v>
      </c>
      <c r="E18" s="61" t="s">
        <v>332</v>
      </c>
      <c r="F18" s="62" t="n">
        <f aca="false">ROUND(6371*2*ASIN(SQRT(SIN(RADIANS(AE18-Notas!$B$4)/2)^2+COS(RADIANS(Notas!$B$4))*COS(RADIANS(AE18))*SIN(RADIANS(AF18-Notas!$B$5)/2)^2)),1)</f>
        <v>10.6</v>
      </c>
      <c r="G18" s="59" t="str">
        <f aca="false">IF(F18&lt;=Notas!$B$6,"Sí","No")</f>
        <v>Sí</v>
      </c>
      <c r="H18" s="61" t="s">
        <v>333</v>
      </c>
      <c r="I18" s="63" t="n">
        <v>145</v>
      </c>
      <c r="J18" s="63" t="n">
        <f aca="false">IF(ISNUMBER(I18),I18*Notas!$B$7,"")</f>
        <v>17400</v>
      </c>
      <c r="K18" s="64" t="n">
        <v>150</v>
      </c>
      <c r="L18" s="64" t="n">
        <v>600</v>
      </c>
      <c r="M18" s="61" t="s">
        <v>334</v>
      </c>
      <c r="N18" s="61" t="s">
        <v>335</v>
      </c>
      <c r="O18" s="61" t="s">
        <v>336</v>
      </c>
      <c r="P18" s="61" t="s">
        <v>337</v>
      </c>
      <c r="Q18" s="61" t="s">
        <v>109</v>
      </c>
      <c r="R18" s="61" t="s">
        <v>338</v>
      </c>
      <c r="S18" s="61" t="s">
        <v>339</v>
      </c>
      <c r="T18" s="61" t="s">
        <v>340</v>
      </c>
      <c r="U18" s="61" t="s">
        <v>131</v>
      </c>
      <c r="V18" s="61" t="s">
        <v>112</v>
      </c>
      <c r="W18" s="61" t="s">
        <v>341</v>
      </c>
      <c r="X18" s="61" t="s">
        <v>342</v>
      </c>
      <c r="Y18" s="62" t="n">
        <v>4</v>
      </c>
      <c r="Z18" s="59" t="n">
        <v>656</v>
      </c>
      <c r="AA18" s="61" t="s">
        <v>343</v>
      </c>
      <c r="AB18" s="61" t="s">
        <v>344</v>
      </c>
      <c r="AC18" s="65" t="s">
        <v>345</v>
      </c>
      <c r="AD18" s="65" t="str">
        <f aca="false">HYPERLINK("https://www.google.com/maps/search/?api=1&amp;query="&amp;AE18&amp;","&amp;AF18,"Abrir mapa")</f>
        <v>Abrir mapa</v>
      </c>
      <c r="AE18" s="61" t="n">
        <v>40.5229032</v>
      </c>
      <c r="AF18" s="61" t="n">
        <v>-3.6670449</v>
      </c>
      <c r="AG18" s="66" t="n">
        <f aca="false">ROUND(F18*Notas!$B$8/Notas!$B$9*60,0)</f>
        <v>21</v>
      </c>
      <c r="AH18" s="67" t="str">
        <f aca="false">HYPERLINK("https://www.google.com/maps/dir/?api=1&amp;origin=Calle+de+Ayala+71,+Madrid&amp;destination="&amp;AE18&amp;","&amp;AF18&amp;"&amp;travelmode=driving","Ver ruta y tiempo")</f>
        <v>Ver ruta y tiempo</v>
      </c>
      <c r="AI18" s="68"/>
      <c r="AJ18" s="67" t="str">
        <f aca="false">IF(AI18="",HYPERLINK("https://www.google.com/search?q=site%3Ainstagram.com+Finca+Astilbe++by+Eneldo+bodas","Buscar en Instagram"),HYPERLINK("https://instagram.com/"&amp;SUBSTITUTE(AI18,"@",""),AI18))</f>
        <v>Buscar en Instagram</v>
      </c>
    </row>
    <row r="19" customFormat="false" ht="23.85" hidden="false" customHeight="false" outlineLevel="0" collapsed="false">
      <c r="A19" s="69" t="n">
        <v>18</v>
      </c>
      <c r="B19" s="70" t="s">
        <v>346</v>
      </c>
      <c r="C19" s="71" t="s">
        <v>347</v>
      </c>
      <c r="D19" s="71" t="s">
        <v>348</v>
      </c>
      <c r="E19" s="71" t="s">
        <v>349</v>
      </c>
      <c r="F19" s="72" t="n">
        <f aca="false">ROUND(6371*2*ASIN(SQRT(SIN(RADIANS(AE19-Notas!$B$4)/2)^2+COS(RADIANS(Notas!$B$4))*COS(RADIANS(AE19))*SIN(RADIANS(AF19-Notas!$B$5)/2)^2)),1)</f>
        <v>10.8</v>
      </c>
      <c r="G19" s="69" t="str">
        <f aca="false">IF(F19&lt;=Notas!$B$6,"Sí","No")</f>
        <v>Sí</v>
      </c>
      <c r="H19" s="71" t="s">
        <v>238</v>
      </c>
      <c r="I19" s="73" t="n">
        <v>99</v>
      </c>
      <c r="J19" s="73" t="n">
        <f aca="false">IF(ISNUMBER(I19),I19*Notas!$B$7,"")</f>
        <v>11880</v>
      </c>
      <c r="K19" s="74" t="n">
        <v>40</v>
      </c>
      <c r="L19" s="74" t="n">
        <v>1000</v>
      </c>
      <c r="M19" s="71" t="s">
        <v>350</v>
      </c>
      <c r="N19" s="71" t="s">
        <v>351</v>
      </c>
      <c r="O19" s="71" t="s">
        <v>143</v>
      </c>
      <c r="P19" s="71" t="s">
        <v>352</v>
      </c>
      <c r="Q19" s="71" t="s">
        <v>109</v>
      </c>
      <c r="R19" s="71" t="s">
        <v>353</v>
      </c>
      <c r="S19" s="71" t="s">
        <v>129</v>
      </c>
      <c r="T19" s="71" t="s">
        <v>112</v>
      </c>
      <c r="U19" s="71" t="s">
        <v>131</v>
      </c>
      <c r="V19" s="71" t="s">
        <v>112</v>
      </c>
      <c r="W19" s="71" t="s">
        <v>114</v>
      </c>
      <c r="X19" s="71" t="s">
        <v>354</v>
      </c>
      <c r="Y19" s="72" t="n">
        <v>4.3</v>
      </c>
      <c r="Z19" s="69" t="n">
        <v>4028</v>
      </c>
      <c r="AA19" s="71" t="s">
        <v>355</v>
      </c>
      <c r="AB19" s="71" t="s">
        <v>356</v>
      </c>
      <c r="AC19" s="75" t="s">
        <v>357</v>
      </c>
      <c r="AD19" s="75" t="str">
        <f aca="false">HYPERLINK("https://www.google.com/maps/search/?api=1&amp;query="&amp;AE19&amp;","&amp;AF19,"Abrir mapa")</f>
        <v>Abrir mapa</v>
      </c>
      <c r="AE19" s="71" t="n">
        <v>40.365442</v>
      </c>
      <c r="AF19" s="71" t="n">
        <v>-3.7736647</v>
      </c>
      <c r="AG19" s="76" t="n">
        <f aca="false">ROUND(F19*Notas!$B$8/Notas!$B$9*60,0)</f>
        <v>21</v>
      </c>
      <c r="AH19" s="77" t="str">
        <f aca="false">HYPERLINK("https://www.google.com/maps/dir/?api=1&amp;origin=Calle+de+Ayala+71,+Madrid&amp;destination="&amp;AE19&amp;","&amp;AF19&amp;"&amp;travelmode=driving","Ver ruta y tiempo")</f>
        <v>Ver ruta y tiempo</v>
      </c>
      <c r="AI19" s="78"/>
      <c r="AJ19" s="77" t="str">
        <f aca="false">IF(AI19="",HYPERLINK("https://www.google.com/search?q=site%3Ainstagram.com+El+Mirador+de+Cuatrovientos++incl.+Finca+Las+Palmeras+bodas","Buscar en Instagram"),HYPERLINK("https://instagram.com/"&amp;SUBSTITUTE(AI19,"@",""),AI19))</f>
        <v>Buscar en Instagram</v>
      </c>
    </row>
    <row r="20" customFormat="false" ht="23.85" hidden="false" customHeight="false" outlineLevel="0" collapsed="false">
      <c r="A20" s="59" t="n">
        <v>19</v>
      </c>
      <c r="B20" s="60" t="s">
        <v>358</v>
      </c>
      <c r="C20" s="61" t="s">
        <v>359</v>
      </c>
      <c r="D20" s="61" t="s">
        <v>360</v>
      </c>
      <c r="E20" s="61" t="s">
        <v>361</v>
      </c>
      <c r="F20" s="62" t="n">
        <f aca="false">ROUND(6371*2*ASIN(SQRT(SIN(RADIANS(AE20-Notas!$B$4)/2)^2+COS(RADIANS(Notas!$B$4))*COS(RADIANS(AE20))*SIN(RADIANS(AF20-Notas!$B$5)/2)^2)),1)</f>
        <v>10.9</v>
      </c>
      <c r="G20" s="59" t="str">
        <f aca="false">IF(F20&lt;=Notas!$B$6,"Sí","No")</f>
        <v>Sí</v>
      </c>
      <c r="H20" s="61" t="s">
        <v>362</v>
      </c>
      <c r="I20" s="63" t="n">
        <v>135</v>
      </c>
      <c r="J20" s="63" t="n">
        <f aca="false">IF(ISNUMBER(I20),I20*Notas!$B$7,"")</f>
        <v>16200</v>
      </c>
      <c r="K20" s="64"/>
      <c r="L20" s="64" t="n">
        <v>450</v>
      </c>
      <c r="M20" s="61" t="s">
        <v>124</v>
      </c>
      <c r="N20" s="61" t="s">
        <v>363</v>
      </c>
      <c r="O20" s="61" t="s">
        <v>143</v>
      </c>
      <c r="P20" s="61" t="s">
        <v>364</v>
      </c>
      <c r="Q20" s="61" t="s">
        <v>109</v>
      </c>
      <c r="R20" s="61" t="s">
        <v>128</v>
      </c>
      <c r="S20" s="61" t="s">
        <v>129</v>
      </c>
      <c r="T20" s="61" t="s">
        <v>112</v>
      </c>
      <c r="U20" s="61" t="s">
        <v>131</v>
      </c>
      <c r="V20" s="61" t="s">
        <v>114</v>
      </c>
      <c r="W20" s="61" t="s">
        <v>114</v>
      </c>
      <c r="X20" s="61" t="s">
        <v>365</v>
      </c>
      <c r="Y20" s="62" t="n">
        <v>4.5</v>
      </c>
      <c r="Z20" s="59" t="n">
        <v>641</v>
      </c>
      <c r="AA20" s="61" t="s">
        <v>366</v>
      </c>
      <c r="AB20" s="61" t="s">
        <v>367</v>
      </c>
      <c r="AC20" s="65" t="s">
        <v>368</v>
      </c>
      <c r="AD20" s="65" t="str">
        <f aca="false">HYPERLINK("https://www.google.com/maps/search/?api=1&amp;query="&amp;AE20&amp;","&amp;AF20,"Abrir mapa")</f>
        <v>Abrir mapa</v>
      </c>
      <c r="AE20" s="61" t="n">
        <v>40.4193339</v>
      </c>
      <c r="AF20" s="61" t="n">
        <v>-3.8038793</v>
      </c>
      <c r="AG20" s="66" t="n">
        <f aca="false">ROUND(F20*Notas!$B$8/Notas!$B$9*60,0)</f>
        <v>21</v>
      </c>
      <c r="AH20" s="67" t="str">
        <f aca="false">HYPERLINK("https://www.google.com/maps/dir/?api=1&amp;origin=Calle+de+Ayala+71,+Madrid&amp;destination="&amp;AE20&amp;","&amp;AF20&amp;"&amp;travelmode=driving","Ver ruta y tiempo")</f>
        <v>Ver ruta y tiempo</v>
      </c>
      <c r="AI20" s="68"/>
      <c r="AJ20" s="67" t="str">
        <f aca="false">IF(AI20="",HYPERLINK("https://www.google.com/search?q=site%3Ainstagram.com+U-Zalaca%C3%ADn+La+Finca+bodas","Buscar en Instagram"),HYPERLINK("https://instagram.com/"&amp;SUBSTITUTE(AI20,"@",""),AI20))</f>
        <v>Buscar en Instagram</v>
      </c>
    </row>
    <row r="21" customFormat="false" ht="35.05" hidden="false" customHeight="false" outlineLevel="0" collapsed="false">
      <c r="A21" s="69" t="n">
        <v>20</v>
      </c>
      <c r="B21" s="70" t="s">
        <v>369</v>
      </c>
      <c r="C21" s="71" t="s">
        <v>370</v>
      </c>
      <c r="D21" s="71" t="s">
        <v>371</v>
      </c>
      <c r="E21" s="71" t="s">
        <v>372</v>
      </c>
      <c r="F21" s="72" t="n">
        <f aca="false">ROUND(6371*2*ASIN(SQRT(SIN(RADIANS(AE21-Notas!$B$4)/2)^2+COS(RADIANS(Notas!$B$4))*COS(RADIANS(AE21))*SIN(RADIANS(AF21-Notas!$B$5)/2)^2)),1)</f>
        <v>11</v>
      </c>
      <c r="G21" s="69" t="str">
        <f aca="false">IF(F21&lt;=Notas!$B$6,"Sí","No")</f>
        <v>Sí</v>
      </c>
      <c r="H21" s="71" t="s">
        <v>373</v>
      </c>
      <c r="I21" s="73" t="n">
        <v>125</v>
      </c>
      <c r="J21" s="73" t="n">
        <f aca="false">IF(ISNUMBER(I21),I21*Notas!$B$7,"")</f>
        <v>15000</v>
      </c>
      <c r="K21" s="74" t="n">
        <v>100</v>
      </c>
      <c r="L21" s="74" t="n">
        <v>600</v>
      </c>
      <c r="M21" s="71" t="s">
        <v>374</v>
      </c>
      <c r="N21" s="71" t="s">
        <v>375</v>
      </c>
      <c r="O21" s="71" t="s">
        <v>376</v>
      </c>
      <c r="P21" s="71" t="s">
        <v>377</v>
      </c>
      <c r="Q21" s="71" t="s">
        <v>109</v>
      </c>
      <c r="R21" s="71" t="s">
        <v>378</v>
      </c>
      <c r="S21" s="71" t="s">
        <v>129</v>
      </c>
      <c r="T21" s="71" t="s">
        <v>128</v>
      </c>
      <c r="U21" s="71" t="s">
        <v>131</v>
      </c>
      <c r="V21" s="71" t="s">
        <v>114</v>
      </c>
      <c r="W21" s="71" t="s">
        <v>114</v>
      </c>
      <c r="X21" s="71" t="s">
        <v>379</v>
      </c>
      <c r="Y21" s="72" t="n">
        <v>4.5</v>
      </c>
      <c r="Z21" s="69" t="n">
        <v>510</v>
      </c>
      <c r="AA21" s="71" t="s">
        <v>380</v>
      </c>
      <c r="AB21" s="71" t="s">
        <v>381</v>
      </c>
      <c r="AC21" s="75" t="s">
        <v>382</v>
      </c>
      <c r="AD21" s="75" t="str">
        <f aca="false">HYPERLINK("https://www.google.com/maps/search/?api=1&amp;query="&amp;AE21&amp;","&amp;AF21,"Abrir mapa")</f>
        <v>Abrir mapa</v>
      </c>
      <c r="AE21" s="71" t="n">
        <v>40.5141747</v>
      </c>
      <c r="AF21" s="71" t="n">
        <v>-3.7388168</v>
      </c>
      <c r="AG21" s="76" t="n">
        <f aca="false">ROUND(F21*Notas!$B$8/Notas!$B$9*60,0)</f>
        <v>21</v>
      </c>
      <c r="AH21" s="77" t="str">
        <f aca="false">HYPERLINK("https://www.google.com/maps/dir/?api=1&amp;origin=Calle+de+Ayala+71,+Madrid&amp;destination="&amp;AE21&amp;","&amp;AF21&amp;"&amp;travelmode=driving","Ver ruta y tiempo")</f>
        <v>Ver ruta y tiempo</v>
      </c>
      <c r="AI21" s="78"/>
      <c r="AJ21" s="77" t="str">
        <f aca="false">IF(AI21="",HYPERLINK("https://www.google.com/search?q=site%3Ainstagram.com+Finca+La+Mu%C3%B1oza++La+Cococha+bodas","Buscar en Instagram"),HYPERLINK("https://instagram.com/"&amp;SUBSTITUTE(AI21,"@",""),AI21))</f>
        <v>Buscar en Instagram</v>
      </c>
    </row>
    <row r="22" customFormat="false" ht="46.25" hidden="false" customHeight="false" outlineLevel="0" collapsed="false">
      <c r="A22" s="59" t="n">
        <v>21</v>
      </c>
      <c r="B22" s="60" t="s">
        <v>383</v>
      </c>
      <c r="C22" s="61" t="s">
        <v>384</v>
      </c>
      <c r="D22" s="61" t="s">
        <v>385</v>
      </c>
      <c r="E22" s="61" t="s">
        <v>386</v>
      </c>
      <c r="F22" s="62" t="n">
        <f aca="false">ROUND(6371*2*ASIN(SQRT(SIN(RADIANS(AE22-Notas!$B$4)/2)^2+COS(RADIANS(Notas!$B$4))*COS(RADIANS(AE22))*SIN(RADIANS(AF22-Notas!$B$5)/2)^2)),1)</f>
        <v>11.2</v>
      </c>
      <c r="G22" s="59" t="str">
        <f aca="false">IF(F22&lt;=Notas!$B$6,"Sí","No")</f>
        <v>Sí</v>
      </c>
      <c r="H22" s="61" t="s">
        <v>387</v>
      </c>
      <c r="I22" s="63"/>
      <c r="J22" s="63" t="str">
        <f aca="false">IF(ISNUMBER(I22),I22*Notas!$B$7,"")</f>
        <v/>
      </c>
      <c r="K22" s="64"/>
      <c r="L22" s="64"/>
      <c r="M22" s="61" t="s">
        <v>105</v>
      </c>
      <c r="N22" s="61" t="s">
        <v>388</v>
      </c>
      <c r="O22" s="61" t="s">
        <v>389</v>
      </c>
      <c r="P22" s="61" t="s">
        <v>390</v>
      </c>
      <c r="Q22" s="61" t="s">
        <v>109</v>
      </c>
      <c r="R22" s="61" t="s">
        <v>391</v>
      </c>
      <c r="S22" s="61" t="s">
        <v>129</v>
      </c>
      <c r="T22" s="61" t="s">
        <v>145</v>
      </c>
      <c r="U22" s="61" t="s">
        <v>131</v>
      </c>
      <c r="V22" s="61" t="s">
        <v>112</v>
      </c>
      <c r="W22" s="61" t="s">
        <v>114</v>
      </c>
      <c r="X22" s="61" t="s">
        <v>392</v>
      </c>
      <c r="Y22" s="62" t="n">
        <v>4.4</v>
      </c>
      <c r="Z22" s="59" t="n">
        <v>1022</v>
      </c>
      <c r="AA22" s="61" t="s">
        <v>393</v>
      </c>
      <c r="AB22" s="61" t="s">
        <v>394</v>
      </c>
      <c r="AC22" s="65" t="s">
        <v>395</v>
      </c>
      <c r="AD22" s="65" t="str">
        <f aca="false">HYPERLINK("https://www.google.com/maps/search/?api=1&amp;query="&amp;AE22&amp;","&amp;AF22,"Abrir mapa")</f>
        <v>Abrir mapa</v>
      </c>
      <c r="AE22" s="61" t="n">
        <v>40.5173214</v>
      </c>
      <c r="AF22" s="61" t="n">
        <v>-3.6171963</v>
      </c>
      <c r="AG22" s="66" t="n">
        <f aca="false">ROUND(F22*Notas!$B$8/Notas!$B$9*60,0)</f>
        <v>22</v>
      </c>
      <c r="AH22" s="67" t="str">
        <f aca="false">HYPERLINK("https://www.google.com/maps/dir/?api=1&amp;origin=Calle+de+Ayala+71,+Madrid&amp;destination="&amp;AE22&amp;","&amp;AF22&amp;"&amp;travelmode=driving","Ver ruta y tiempo")</f>
        <v>Ver ruta y tiempo</v>
      </c>
      <c r="AI22" s="68"/>
      <c r="AJ22" s="67" t="str">
        <f aca="false">IF(AI22="",HYPERLINK("https://www.google.com/search?q=site%3Ainstagram.com+Real+Club+La+Moraleja+bodas","Buscar en Instagram"),HYPERLINK("https://instagram.com/"&amp;SUBSTITUTE(AI22,"@",""),AI22))</f>
        <v>Buscar en Instagram</v>
      </c>
    </row>
    <row r="23" customFormat="false" ht="23.85" hidden="false" customHeight="false" outlineLevel="0" collapsed="false">
      <c r="A23" s="69" t="n">
        <v>22</v>
      </c>
      <c r="B23" s="70" t="s">
        <v>396</v>
      </c>
      <c r="C23" s="71" t="s">
        <v>397</v>
      </c>
      <c r="D23" s="71" t="s">
        <v>398</v>
      </c>
      <c r="E23" s="71" t="s">
        <v>399</v>
      </c>
      <c r="F23" s="72" t="n">
        <f aca="false">ROUND(6371*2*ASIN(SQRT(SIN(RADIANS(AE23-Notas!$B$4)/2)^2+COS(RADIANS(Notas!$B$4))*COS(RADIANS(AE23))*SIN(RADIANS(AF23-Notas!$B$5)/2)^2)),1)</f>
        <v>12.5</v>
      </c>
      <c r="G23" s="69" t="str">
        <f aca="false">IF(F23&lt;=Notas!$B$6,"Sí","No")</f>
        <v>Sí</v>
      </c>
      <c r="H23" s="71" t="s">
        <v>105</v>
      </c>
      <c r="I23" s="73"/>
      <c r="J23" s="73" t="str">
        <f aca="false">IF(ISNUMBER(I23),I23*Notas!$B$7,"")</f>
        <v/>
      </c>
      <c r="K23" s="74"/>
      <c r="L23" s="74"/>
      <c r="M23" s="71" t="s">
        <v>105</v>
      </c>
      <c r="N23" s="71" t="s">
        <v>114</v>
      </c>
      <c r="O23" s="71" t="s">
        <v>145</v>
      </c>
      <c r="P23" s="71" t="s">
        <v>114</v>
      </c>
      <c r="Q23" s="71" t="s">
        <v>145</v>
      </c>
      <c r="R23" s="71" t="s">
        <v>145</v>
      </c>
      <c r="S23" s="71" t="s">
        <v>129</v>
      </c>
      <c r="T23" s="71" t="s">
        <v>145</v>
      </c>
      <c r="U23" s="71" t="s">
        <v>131</v>
      </c>
      <c r="V23" s="71" t="s">
        <v>114</v>
      </c>
      <c r="W23" s="71" t="s">
        <v>114</v>
      </c>
      <c r="X23" s="71" t="s">
        <v>400</v>
      </c>
      <c r="Y23" s="72" t="n">
        <v>4.3</v>
      </c>
      <c r="Z23" s="69" t="n">
        <v>4</v>
      </c>
      <c r="AA23" s="71" t="s">
        <v>148</v>
      </c>
      <c r="AB23" s="71" t="s">
        <v>401</v>
      </c>
      <c r="AC23" s="71" t="s">
        <v>402</v>
      </c>
      <c r="AD23" s="75" t="str">
        <f aca="false">HYPERLINK("https://www.google.com/maps/search/?api=1&amp;query="&amp;AE23&amp;","&amp;AF23,"Abrir mapa")</f>
        <v>Abrir mapa</v>
      </c>
      <c r="AE23" s="71" t="n">
        <v>40.5304335</v>
      </c>
      <c r="AF23" s="71" t="n">
        <v>-3.6171501</v>
      </c>
      <c r="AG23" s="76" t="n">
        <f aca="false">ROUND(F23*Notas!$B$8/Notas!$B$9*60,0)</f>
        <v>24</v>
      </c>
      <c r="AH23" s="77" t="str">
        <f aca="false">HYPERLINK("https://www.google.com/maps/dir/?api=1&amp;origin=Calle+de+Ayala+71,+Madrid&amp;destination="&amp;AE23&amp;","&amp;AF23&amp;"&amp;travelmode=driving","Ver ruta y tiempo")</f>
        <v>Ver ruta y tiempo</v>
      </c>
      <c r="AI23" s="78"/>
      <c r="AJ23" s="77" t="str">
        <f aca="false">IF(AI23="",HYPERLINK("https://www.google.com/search?q=site%3Ainstagram.com+Finca+Petit+Moraleja+bodas","Buscar en Instagram"),HYPERLINK("https://instagram.com/"&amp;SUBSTITUTE(AI23,"@",""),AI23))</f>
        <v>Buscar en Instagram</v>
      </c>
    </row>
    <row r="24" customFormat="false" ht="23.85" hidden="false" customHeight="false" outlineLevel="0" collapsed="false">
      <c r="A24" s="59" t="n">
        <v>23</v>
      </c>
      <c r="B24" s="60" t="s">
        <v>403</v>
      </c>
      <c r="C24" s="61" t="s">
        <v>404</v>
      </c>
      <c r="D24" s="61" t="s">
        <v>405</v>
      </c>
      <c r="E24" s="61" t="s">
        <v>406</v>
      </c>
      <c r="F24" s="62" t="n">
        <f aca="false">ROUND(6371*2*ASIN(SQRT(SIN(RADIANS(AE24-Notas!$B$4)/2)^2+COS(RADIANS(Notas!$B$4))*COS(RADIANS(AE24))*SIN(RADIANS(AF24-Notas!$B$5)/2)^2)),1)</f>
        <v>12.6</v>
      </c>
      <c r="G24" s="59" t="str">
        <f aca="false">IF(F24&lt;=Notas!$B$6,"Sí","No")</f>
        <v>Sí</v>
      </c>
      <c r="H24" s="61" t="s">
        <v>105</v>
      </c>
      <c r="I24" s="63"/>
      <c r="J24" s="63" t="str">
        <f aca="false">IF(ISNUMBER(I24),I24*Notas!$B$7,"")</f>
        <v/>
      </c>
      <c r="K24" s="64"/>
      <c r="L24" s="64"/>
      <c r="M24" s="61" t="s">
        <v>407</v>
      </c>
      <c r="N24" s="61" t="s">
        <v>408</v>
      </c>
      <c r="O24" s="61" t="s">
        <v>409</v>
      </c>
      <c r="P24" s="61" t="s">
        <v>410</v>
      </c>
      <c r="Q24" s="61" t="s">
        <v>145</v>
      </c>
      <c r="R24" s="61" t="s">
        <v>146</v>
      </c>
      <c r="S24" s="61" t="s">
        <v>411</v>
      </c>
      <c r="T24" s="61" t="s">
        <v>145</v>
      </c>
      <c r="U24" s="61" t="s">
        <v>131</v>
      </c>
      <c r="V24" s="61" t="s">
        <v>114</v>
      </c>
      <c r="W24" s="61" t="s">
        <v>114</v>
      </c>
      <c r="X24" s="61" t="s">
        <v>412</v>
      </c>
      <c r="Y24" s="62" t="n">
        <v>4.9</v>
      </c>
      <c r="Z24" s="59" t="n">
        <v>8</v>
      </c>
      <c r="AA24" s="61" t="s">
        <v>148</v>
      </c>
      <c r="AB24" s="61" t="s">
        <v>413</v>
      </c>
      <c r="AC24" s="61" t="s">
        <v>414</v>
      </c>
      <c r="AD24" s="65" t="str">
        <f aca="false">HYPERLINK("https://www.google.com/maps/search/?api=1&amp;query="&amp;AE24&amp;","&amp;AF24,"Abrir mapa")</f>
        <v>Abrir mapa</v>
      </c>
      <c r="AE24" s="61" t="n">
        <v>40.4693509</v>
      </c>
      <c r="AF24" s="61" t="n">
        <v>-3.8145161</v>
      </c>
      <c r="AG24" s="66" t="n">
        <f aca="false">ROUND(F24*Notas!$B$8/Notas!$B$9*60,0)</f>
        <v>25</v>
      </c>
      <c r="AH24" s="67" t="str">
        <f aca="false">HYPERLINK("https://www.google.com/maps/dir/?api=1&amp;origin=Calle+de+Ayala+71,+Madrid&amp;destination="&amp;AE24&amp;","&amp;AF24&amp;"&amp;travelmode=driving","Ver ruta y tiempo")</f>
        <v>Ver ruta y tiempo</v>
      </c>
      <c r="AI24" s="68"/>
      <c r="AJ24" s="67" t="str">
        <f aca="false">IF(AI24="",HYPERLINK("https://www.google.com/search?q=site%3Ainstagram.com+El+Jard%C3%ADn+de+la+Florida+bodas","Buscar en Instagram"),HYPERLINK("https://instagram.com/"&amp;SUBSTITUTE(AI24,"@",""),AI24))</f>
        <v>Buscar en Instagram</v>
      </c>
    </row>
    <row r="25" customFormat="false" ht="23.85" hidden="false" customHeight="false" outlineLevel="0" collapsed="false">
      <c r="A25" s="69" t="n">
        <v>24</v>
      </c>
      <c r="B25" s="70" t="s">
        <v>415</v>
      </c>
      <c r="C25" s="71" t="s">
        <v>416</v>
      </c>
      <c r="D25" s="71" t="s">
        <v>417</v>
      </c>
      <c r="E25" s="71" t="s">
        <v>418</v>
      </c>
      <c r="F25" s="72" t="n">
        <f aca="false">ROUND(6371*2*ASIN(SQRT(SIN(RADIANS(AE25-Notas!$B$4)/2)^2+COS(RADIANS(Notas!$B$4))*COS(RADIANS(AE25))*SIN(RADIANS(AF25-Notas!$B$5)/2)^2)),1)</f>
        <v>12.9</v>
      </c>
      <c r="G25" s="69" t="str">
        <f aca="false">IF(F25&lt;=Notas!$B$6,"Sí","No")</f>
        <v>Sí</v>
      </c>
      <c r="H25" s="71" t="s">
        <v>419</v>
      </c>
      <c r="I25" s="73" t="n">
        <v>150</v>
      </c>
      <c r="J25" s="73" t="n">
        <f aca="false">IF(ISNUMBER(I25),I25*Notas!$B$7,"")</f>
        <v>18000</v>
      </c>
      <c r="K25" s="74" t="n">
        <v>75</v>
      </c>
      <c r="L25" s="74" t="n">
        <v>270</v>
      </c>
      <c r="M25" s="71" t="s">
        <v>420</v>
      </c>
      <c r="N25" s="71" t="s">
        <v>421</v>
      </c>
      <c r="O25" s="71" t="s">
        <v>143</v>
      </c>
      <c r="P25" s="71" t="s">
        <v>422</v>
      </c>
      <c r="Q25" s="71" t="s">
        <v>109</v>
      </c>
      <c r="R25" s="71" t="s">
        <v>423</v>
      </c>
      <c r="S25" s="71" t="s">
        <v>129</v>
      </c>
      <c r="T25" s="71" t="s">
        <v>424</v>
      </c>
      <c r="U25" s="71" t="s">
        <v>131</v>
      </c>
      <c r="V25" s="71" t="s">
        <v>114</v>
      </c>
      <c r="W25" s="71" t="s">
        <v>114</v>
      </c>
      <c r="X25" s="71" t="s">
        <v>425</v>
      </c>
      <c r="Y25" s="72" t="n">
        <v>4.7</v>
      </c>
      <c r="Z25" s="69" t="n">
        <v>50</v>
      </c>
      <c r="AA25" s="71" t="s">
        <v>343</v>
      </c>
      <c r="AB25" s="71" t="s">
        <v>426</v>
      </c>
      <c r="AC25" s="75" t="s">
        <v>427</v>
      </c>
      <c r="AD25" s="75" t="str">
        <f aca="false">HYPERLINK("https://www.google.com/maps/search/?api=1&amp;query="&amp;AE25&amp;","&amp;AF25,"Abrir mapa")</f>
        <v>Abrir mapa</v>
      </c>
      <c r="AE25" s="71" t="n">
        <v>40.5437543</v>
      </c>
      <c r="AF25" s="71" t="n">
        <v>-3.6831698</v>
      </c>
      <c r="AG25" s="76" t="n">
        <f aca="false">ROUND(F25*Notas!$B$8/Notas!$B$9*60,0)</f>
        <v>25</v>
      </c>
      <c r="AH25" s="77" t="str">
        <f aca="false">HYPERLINK("https://www.google.com/maps/dir/?api=1&amp;origin=Calle+de+Ayala+71,+Madrid&amp;destination="&amp;AE25&amp;","&amp;AF25&amp;"&amp;travelmode=driving","Ver ruta y tiempo")</f>
        <v>Ver ruta y tiempo</v>
      </c>
      <c r="AI25" s="78"/>
      <c r="AJ25" s="77" t="str">
        <f aca="false">IF(AI25="",HYPERLINK("https://www.google.com/search?q=site%3Ainstagram.com+Initium++Artigot+Catering+bodas","Buscar en Instagram"),HYPERLINK("https://instagram.com/"&amp;SUBSTITUTE(AI25,"@",""),AI25))</f>
        <v>Buscar en Instagram</v>
      </c>
    </row>
    <row r="26" customFormat="false" ht="35.05" hidden="false" customHeight="false" outlineLevel="0" collapsed="false">
      <c r="A26" s="59" t="n">
        <v>25</v>
      </c>
      <c r="B26" s="60" t="s">
        <v>428</v>
      </c>
      <c r="C26" s="61" t="s">
        <v>429</v>
      </c>
      <c r="D26" s="61" t="s">
        <v>430</v>
      </c>
      <c r="E26" s="61" t="s">
        <v>431</v>
      </c>
      <c r="F26" s="62" t="n">
        <f aca="false">ROUND(6371*2*ASIN(SQRT(SIN(RADIANS(AE26-Notas!$B$4)/2)^2+COS(RADIANS(Notas!$B$4))*COS(RADIANS(AE26))*SIN(RADIANS(AF26-Notas!$B$5)/2)^2)),1)</f>
        <v>13</v>
      </c>
      <c r="G26" s="59" t="str">
        <f aca="false">IF(F26&lt;=Notas!$B$6,"Sí","No")</f>
        <v>Sí</v>
      </c>
      <c r="H26" s="61" t="s">
        <v>105</v>
      </c>
      <c r="I26" s="63"/>
      <c r="J26" s="63" t="str">
        <f aca="false">IF(ISNUMBER(I26),I26*Notas!$B$7,"")</f>
        <v/>
      </c>
      <c r="K26" s="64"/>
      <c r="L26" s="64"/>
      <c r="M26" s="61" t="s">
        <v>432</v>
      </c>
      <c r="N26" s="61" t="s">
        <v>433</v>
      </c>
      <c r="O26" s="61" t="s">
        <v>145</v>
      </c>
      <c r="P26" s="61" t="s">
        <v>434</v>
      </c>
      <c r="Q26" s="61" t="s">
        <v>145</v>
      </c>
      <c r="R26" s="61" t="s">
        <v>128</v>
      </c>
      <c r="S26" s="61" t="s">
        <v>129</v>
      </c>
      <c r="T26" s="61" t="s">
        <v>145</v>
      </c>
      <c r="U26" s="61" t="s">
        <v>131</v>
      </c>
      <c r="V26" s="61" t="s">
        <v>114</v>
      </c>
      <c r="W26" s="61" t="s">
        <v>435</v>
      </c>
      <c r="X26" s="61" t="s">
        <v>436</v>
      </c>
      <c r="Y26" s="62" t="n">
        <v>4.6</v>
      </c>
      <c r="Z26" s="59" t="n">
        <v>267</v>
      </c>
      <c r="AA26" s="61" t="s">
        <v>148</v>
      </c>
      <c r="AB26" s="61" t="s">
        <v>437</v>
      </c>
      <c r="AC26" s="61" t="s">
        <v>414</v>
      </c>
      <c r="AD26" s="65" t="str">
        <f aca="false">HYPERLINK("https://www.google.com/maps/search/?api=1&amp;query="&amp;AE26&amp;","&amp;AF26,"Abrir mapa")</f>
        <v>Abrir mapa</v>
      </c>
      <c r="AE26" s="61" t="n">
        <v>40.4682664</v>
      </c>
      <c r="AF26" s="61" t="n">
        <v>-3.8202418</v>
      </c>
      <c r="AG26" s="66" t="n">
        <f aca="false">ROUND(F26*Notas!$B$8/Notas!$B$9*60,0)</f>
        <v>25</v>
      </c>
      <c r="AH26" s="67" t="str">
        <f aca="false">HYPERLINK("https://www.google.com/maps/dir/?api=1&amp;origin=Calle+de+Ayala+71,+Madrid&amp;destination="&amp;AE26&amp;","&amp;AF26&amp;"&amp;travelmode=driving","Ver ruta y tiempo")</f>
        <v>Ver ruta y tiempo</v>
      </c>
      <c r="AI26" s="68"/>
      <c r="AJ26" s="67" t="str">
        <f aca="false">IF(AI26="",HYPERLINK("https://www.google.com/search?q=site%3Ainstagram.com+Finca+El+Chaparral+bodas","Buscar en Instagram"),HYPERLINK("https://instagram.com/"&amp;SUBSTITUTE(AI26,"@",""),AI26))</f>
        <v>Buscar en Instagram</v>
      </c>
    </row>
    <row r="27" customFormat="false" ht="46.25" hidden="false" customHeight="false" outlineLevel="0" collapsed="false">
      <c r="A27" s="69" t="n">
        <v>26</v>
      </c>
      <c r="B27" s="70" t="s">
        <v>438</v>
      </c>
      <c r="C27" s="71" t="s">
        <v>439</v>
      </c>
      <c r="D27" s="71" t="s">
        <v>440</v>
      </c>
      <c r="E27" s="71" t="s">
        <v>441</v>
      </c>
      <c r="F27" s="72" t="n">
        <f aca="false">ROUND(6371*2*ASIN(SQRT(SIN(RADIANS(AE27-Notas!$B$4)/2)^2+COS(RADIANS(Notas!$B$4))*COS(RADIANS(AE27))*SIN(RADIANS(AF27-Notas!$B$5)/2)^2)),1)</f>
        <v>13.6</v>
      </c>
      <c r="G27" s="69" t="str">
        <f aca="false">IF(F27&lt;=Notas!$B$6,"Sí","No")</f>
        <v>Sí</v>
      </c>
      <c r="H27" s="71" t="s">
        <v>442</v>
      </c>
      <c r="I27" s="73"/>
      <c r="J27" s="73" t="str">
        <f aca="false">IF(ISNUMBER(I27),I27*Notas!$B$7,"")</f>
        <v/>
      </c>
      <c r="K27" s="74" t="n">
        <v>150</v>
      </c>
      <c r="L27" s="74" t="n">
        <v>400</v>
      </c>
      <c r="M27" s="71" t="s">
        <v>443</v>
      </c>
      <c r="N27" s="71" t="s">
        <v>444</v>
      </c>
      <c r="O27" s="71" t="s">
        <v>445</v>
      </c>
      <c r="P27" s="71" t="s">
        <v>446</v>
      </c>
      <c r="Q27" s="71" t="s">
        <v>109</v>
      </c>
      <c r="R27" s="71" t="s">
        <v>447</v>
      </c>
      <c r="S27" s="71" t="s">
        <v>448</v>
      </c>
      <c r="T27" s="71" t="s">
        <v>145</v>
      </c>
      <c r="U27" s="71" t="s">
        <v>145</v>
      </c>
      <c r="V27" s="71" t="s">
        <v>114</v>
      </c>
      <c r="W27" s="71" t="s">
        <v>114</v>
      </c>
      <c r="X27" s="71" t="s">
        <v>449</v>
      </c>
      <c r="Y27" s="72"/>
      <c r="Z27" s="69"/>
      <c r="AA27" s="71" t="s">
        <v>148</v>
      </c>
      <c r="AB27" s="71" t="s">
        <v>148</v>
      </c>
      <c r="AC27" s="75" t="s">
        <v>450</v>
      </c>
      <c r="AD27" s="75" t="str">
        <f aca="false">HYPERLINK("https://www.google.com/maps/search/?api=1&amp;query="&amp;AE27&amp;","&amp;AF27,"Abrir mapa")</f>
        <v>Abrir mapa</v>
      </c>
      <c r="AE27" s="71" t="n">
        <v>40.4574019</v>
      </c>
      <c r="AF27" s="71" t="n">
        <v>-3.8319845</v>
      </c>
      <c r="AG27" s="76" t="n">
        <f aca="false">ROUND(F27*Notas!$B$8/Notas!$B$9*60,0)</f>
        <v>27</v>
      </c>
      <c r="AH27" s="77" t="str">
        <f aca="false">HYPERLINK("https://www.google.com/maps/dir/?api=1&amp;origin=Calle+de+Ayala+71,+Madrid&amp;destination="&amp;AE27&amp;","&amp;AF27&amp;"&amp;travelmode=driving","Ver ruta y tiempo")</f>
        <v>Ver ruta y tiempo</v>
      </c>
      <c r="AI27" s="78"/>
      <c r="AJ27" s="77" t="str">
        <f aca="false">IF(AI27="",HYPERLINK("https://www.google.com/search?q=site%3Ainstagram.com+Torzares++finca+La+Escorzonera+bodas","Buscar en Instagram"),HYPERLINK("https://instagram.com/"&amp;SUBSTITUTE(AI27,"@",""),AI27))</f>
        <v>Buscar en Instagram</v>
      </c>
    </row>
    <row r="28" customFormat="false" ht="23.85" hidden="false" customHeight="false" outlineLevel="0" collapsed="false">
      <c r="A28" s="59" t="n">
        <v>27</v>
      </c>
      <c r="B28" s="60" t="s">
        <v>451</v>
      </c>
      <c r="C28" s="61" t="s">
        <v>452</v>
      </c>
      <c r="D28" s="61" t="s">
        <v>249</v>
      </c>
      <c r="E28" s="61" t="s">
        <v>453</v>
      </c>
      <c r="F28" s="62" t="n">
        <f aca="false">ROUND(6371*2*ASIN(SQRT(SIN(RADIANS(AE28-Notas!$B$4)/2)^2+COS(RADIANS(Notas!$B$4))*COS(RADIANS(AE28))*SIN(RADIANS(AF28-Notas!$B$5)/2)^2)),1)</f>
        <v>13.6</v>
      </c>
      <c r="G28" s="59" t="str">
        <f aca="false">IF(F28&lt;=Notas!$B$6,"Sí","No")</f>
        <v>Sí</v>
      </c>
      <c r="H28" s="61" t="s">
        <v>105</v>
      </c>
      <c r="I28" s="63"/>
      <c r="J28" s="63" t="str">
        <f aca="false">IF(ISNUMBER(I28),I28*Notas!$B$7,"")</f>
        <v/>
      </c>
      <c r="K28" s="64"/>
      <c r="L28" s="64"/>
      <c r="M28" s="61" t="s">
        <v>105</v>
      </c>
      <c r="N28" s="61" t="s">
        <v>351</v>
      </c>
      <c r="O28" s="61" t="s">
        <v>143</v>
      </c>
      <c r="P28" s="61" t="s">
        <v>454</v>
      </c>
      <c r="Q28" s="61" t="s">
        <v>109</v>
      </c>
      <c r="R28" s="61" t="s">
        <v>455</v>
      </c>
      <c r="S28" s="61" t="s">
        <v>129</v>
      </c>
      <c r="T28" s="61" t="s">
        <v>146</v>
      </c>
      <c r="U28" s="61" t="s">
        <v>131</v>
      </c>
      <c r="V28" s="61" t="s">
        <v>114</v>
      </c>
      <c r="W28" s="61" t="s">
        <v>114</v>
      </c>
      <c r="X28" s="61" t="s">
        <v>456</v>
      </c>
      <c r="Y28" s="62" t="n">
        <v>4.2</v>
      </c>
      <c r="Z28" s="59" t="n">
        <v>3133</v>
      </c>
      <c r="AA28" s="61" t="s">
        <v>148</v>
      </c>
      <c r="AB28" s="61" t="s">
        <v>457</v>
      </c>
      <c r="AC28" s="61" t="s">
        <v>414</v>
      </c>
      <c r="AD28" s="65" t="str">
        <f aca="false">HYPERLINK("https://www.google.com/maps/search/?api=1&amp;query="&amp;AE28&amp;","&amp;AF28,"Abrir mapa")</f>
        <v>Abrir mapa</v>
      </c>
      <c r="AE28" s="61" t="n">
        <v>40.5201183</v>
      </c>
      <c r="AF28" s="61" t="n">
        <v>-3.7813086</v>
      </c>
      <c r="AG28" s="66" t="n">
        <f aca="false">ROUND(F28*Notas!$B$8/Notas!$B$9*60,0)</f>
        <v>27</v>
      </c>
      <c r="AH28" s="67" t="str">
        <f aca="false">HYPERLINK("https://www.google.com/maps/dir/?api=1&amp;origin=Calle+de+Ayala+71,+Madrid&amp;destination="&amp;AE28&amp;","&amp;AF28&amp;"&amp;travelmode=driving","Ver ruta y tiempo")</f>
        <v>Ver ruta y tiempo</v>
      </c>
      <c r="AI28" s="68"/>
      <c r="AJ28" s="67" t="str">
        <f aca="false">IF(AI28="",HYPERLINK("https://www.google.com/search?q=site%3Ainstagram.com+Restaurante+San+Francisco++El+Pardo+bodas","Buscar en Instagram"),HYPERLINK("https://instagram.com/"&amp;SUBSTITUTE(AI28,"@",""),AI28))</f>
        <v>Buscar en Instagram</v>
      </c>
    </row>
    <row r="29" customFormat="false" ht="35.05" hidden="false" customHeight="false" outlineLevel="0" collapsed="false">
      <c r="A29" s="69" t="n">
        <v>28</v>
      </c>
      <c r="B29" s="70" t="s">
        <v>458</v>
      </c>
      <c r="C29" s="71" t="s">
        <v>459</v>
      </c>
      <c r="D29" s="71" t="s">
        <v>460</v>
      </c>
      <c r="E29" s="71" t="s">
        <v>461</v>
      </c>
      <c r="F29" s="72" t="n">
        <f aca="false">ROUND(6371*2*ASIN(SQRT(SIN(RADIANS(AE29-Notas!$B$4)/2)^2+COS(RADIANS(Notas!$B$4))*COS(RADIANS(AE29))*SIN(RADIANS(AF29-Notas!$B$5)/2)^2)),1)</f>
        <v>13.6</v>
      </c>
      <c r="G29" s="69" t="str">
        <f aca="false">IF(F29&lt;=Notas!$B$6,"Sí","No")</f>
        <v>Sí</v>
      </c>
      <c r="H29" s="71" t="s">
        <v>462</v>
      </c>
      <c r="I29" s="73" t="n">
        <v>150</v>
      </c>
      <c r="J29" s="73" t="n">
        <f aca="false">IF(ISNUMBER(I29),I29*Notas!$B$7,"")</f>
        <v>18000</v>
      </c>
      <c r="K29" s="74" t="n">
        <v>70</v>
      </c>
      <c r="L29" s="74" t="n">
        <v>400</v>
      </c>
      <c r="M29" s="71" t="s">
        <v>463</v>
      </c>
      <c r="N29" s="71" t="s">
        <v>351</v>
      </c>
      <c r="O29" s="71" t="s">
        <v>143</v>
      </c>
      <c r="P29" s="71" t="s">
        <v>464</v>
      </c>
      <c r="Q29" s="71" t="s">
        <v>109</v>
      </c>
      <c r="R29" s="71" t="s">
        <v>465</v>
      </c>
      <c r="S29" s="71" t="s">
        <v>129</v>
      </c>
      <c r="T29" s="71" t="s">
        <v>112</v>
      </c>
      <c r="U29" s="71" t="s">
        <v>131</v>
      </c>
      <c r="V29" s="71" t="s">
        <v>466</v>
      </c>
      <c r="W29" s="71" t="s">
        <v>467</v>
      </c>
      <c r="X29" s="71" t="s">
        <v>468</v>
      </c>
      <c r="Y29" s="72" t="n">
        <v>4.4</v>
      </c>
      <c r="Z29" s="69" t="n">
        <v>2240</v>
      </c>
      <c r="AA29" s="71" t="s">
        <v>469</v>
      </c>
      <c r="AB29" s="71" t="s">
        <v>470</v>
      </c>
      <c r="AC29" s="75" t="s">
        <v>471</v>
      </c>
      <c r="AD29" s="75" t="str">
        <f aca="false">HYPERLINK("https://www.google.com/maps/search/?api=1&amp;query="&amp;AE29&amp;","&amp;AF29,"Abrir mapa")</f>
        <v>Abrir mapa</v>
      </c>
      <c r="AE29" s="71" t="n">
        <v>40.405487</v>
      </c>
      <c r="AF29" s="71" t="n">
        <v>-3.5180427</v>
      </c>
      <c r="AG29" s="76" t="n">
        <f aca="false">ROUND(F29*Notas!$B$8/Notas!$B$9*60,0)</f>
        <v>27</v>
      </c>
      <c r="AH29" s="77" t="str">
        <f aca="false">HYPERLINK("https://www.google.com/maps/dir/?api=1&amp;origin=Calle+de+Ayala+71,+Madrid&amp;destination="&amp;AE29&amp;","&amp;AF29&amp;"&amp;travelmode=driving","Ver ruta y tiempo")</f>
        <v>Ver ruta y tiempo</v>
      </c>
      <c r="AI29" s="78"/>
      <c r="AJ29" s="77" t="str">
        <f aca="false">IF(AI29="",HYPERLINK("https://www.google.com/search?q=site%3Ainstagram.com+Palacio+del+Negralejo++Grupo+Negralejo+bodas","Buscar en Instagram"),HYPERLINK("https://instagram.com/"&amp;SUBSTITUTE(AI29,"@",""),AI29))</f>
        <v>Buscar en Instagram</v>
      </c>
    </row>
    <row r="30" customFormat="false" ht="35.05" hidden="false" customHeight="false" outlineLevel="0" collapsed="false">
      <c r="A30" s="59" t="n">
        <v>29</v>
      </c>
      <c r="B30" s="60" t="s">
        <v>472</v>
      </c>
      <c r="C30" s="61" t="s">
        <v>473</v>
      </c>
      <c r="D30" s="61" t="s">
        <v>460</v>
      </c>
      <c r="E30" s="61" t="s">
        <v>474</v>
      </c>
      <c r="F30" s="62" t="n">
        <f aca="false">ROUND(6371*2*ASIN(SQRT(SIN(RADIANS(AE30-Notas!$B$4)/2)^2+COS(RADIANS(Notas!$B$4))*COS(RADIANS(AE30))*SIN(RADIANS(AF30-Notas!$B$5)/2)^2)),1)</f>
        <v>13.7</v>
      </c>
      <c r="G30" s="59" t="str">
        <f aca="false">IF(F30&lt;=Notas!$B$6,"Sí","No")</f>
        <v>Sí</v>
      </c>
      <c r="H30" s="61" t="s">
        <v>475</v>
      </c>
      <c r="I30" s="63" t="n">
        <v>150</v>
      </c>
      <c r="J30" s="63" t="n">
        <f aca="false">IF(ISNUMBER(I30),I30*Notas!$B$7,"")</f>
        <v>18000</v>
      </c>
      <c r="K30" s="64" t="n">
        <v>70</v>
      </c>
      <c r="L30" s="64" t="n">
        <v>400</v>
      </c>
      <c r="M30" s="61" t="s">
        <v>476</v>
      </c>
      <c r="N30" s="61" t="s">
        <v>351</v>
      </c>
      <c r="O30" s="61" t="s">
        <v>143</v>
      </c>
      <c r="P30" s="61" t="s">
        <v>477</v>
      </c>
      <c r="Q30" s="61" t="s">
        <v>109</v>
      </c>
      <c r="R30" s="61" t="s">
        <v>478</v>
      </c>
      <c r="S30" s="61" t="s">
        <v>129</v>
      </c>
      <c r="T30" s="61" t="s">
        <v>112</v>
      </c>
      <c r="U30" s="61" t="s">
        <v>131</v>
      </c>
      <c r="V30" s="61" t="s">
        <v>112</v>
      </c>
      <c r="W30" s="61" t="s">
        <v>479</v>
      </c>
      <c r="X30" s="61" t="s">
        <v>480</v>
      </c>
      <c r="Y30" s="62" t="n">
        <v>4.3</v>
      </c>
      <c r="Z30" s="59" t="n">
        <v>158</v>
      </c>
      <c r="AA30" s="61" t="s">
        <v>469</v>
      </c>
      <c r="AB30" s="61" t="s">
        <v>470</v>
      </c>
      <c r="AC30" s="65" t="s">
        <v>471</v>
      </c>
      <c r="AD30" s="65" t="str">
        <f aca="false">HYPERLINK("https://www.google.com/maps/search/?api=1&amp;query="&amp;AE30&amp;","&amp;AF30,"Abrir mapa")</f>
        <v>Abrir mapa</v>
      </c>
      <c r="AE30" s="61" t="n">
        <v>40.4085706</v>
      </c>
      <c r="AF30" s="61" t="n">
        <v>-3.5162788</v>
      </c>
      <c r="AG30" s="66" t="n">
        <f aca="false">ROUND(F30*Notas!$B$8/Notas!$B$9*60,0)</f>
        <v>27</v>
      </c>
      <c r="AH30" s="67" t="str">
        <f aca="false">HYPERLINK("https://www.google.com/maps/dir/?api=1&amp;origin=Calle+de+Ayala+71,+Madrid&amp;destination="&amp;AE30&amp;","&amp;AF30&amp;"&amp;travelmode=driving","Ver ruta y tiempo")</f>
        <v>Ver ruta y tiempo</v>
      </c>
      <c r="AI30" s="68"/>
      <c r="AJ30" s="67" t="str">
        <f aca="false">IF(AI30="",HYPERLINK("https://www.google.com/search?q=site%3Ainstagram.com+Jardines+del+Negralejo++Grupo+Negralejo+bodas","Buscar en Instagram"),HYPERLINK("https://instagram.com/"&amp;SUBSTITUTE(AI30,"@",""),AI30))</f>
        <v>Buscar en Instagram</v>
      </c>
    </row>
    <row r="31" customFormat="false" ht="35.05" hidden="false" customHeight="false" outlineLevel="0" collapsed="false">
      <c r="A31" s="69" t="n">
        <v>30</v>
      </c>
      <c r="B31" s="70" t="s">
        <v>481</v>
      </c>
      <c r="C31" s="71" t="s">
        <v>482</v>
      </c>
      <c r="D31" s="71" t="s">
        <v>483</v>
      </c>
      <c r="E31" s="71" t="s">
        <v>484</v>
      </c>
      <c r="F31" s="72" t="n">
        <f aca="false">ROUND(6371*2*ASIN(SQRT(SIN(RADIANS(AE31-Notas!$B$4)/2)^2+COS(RADIANS(Notas!$B$4))*COS(RADIANS(AE31))*SIN(RADIANS(AF31-Notas!$B$5)/2)^2)),1)</f>
        <v>14.8</v>
      </c>
      <c r="G31" s="69" t="str">
        <f aca="false">IF(F31&lt;=Notas!$B$6,"Sí","No")</f>
        <v>Sí</v>
      </c>
      <c r="H31" s="71" t="s">
        <v>197</v>
      </c>
      <c r="I31" s="73" t="n">
        <v>100</v>
      </c>
      <c r="J31" s="73" t="n">
        <f aca="false">IF(ISNUMBER(I31),I31*Notas!$B$7,"")</f>
        <v>12000</v>
      </c>
      <c r="K31" s="74" t="n">
        <v>90</v>
      </c>
      <c r="L31" s="74" t="n">
        <v>1200</v>
      </c>
      <c r="M31" s="71" t="s">
        <v>485</v>
      </c>
      <c r="N31" s="71" t="s">
        <v>486</v>
      </c>
      <c r="O31" s="71" t="s">
        <v>376</v>
      </c>
      <c r="P31" s="71" t="s">
        <v>487</v>
      </c>
      <c r="Q31" s="71" t="s">
        <v>109</v>
      </c>
      <c r="R31" s="71" t="s">
        <v>488</v>
      </c>
      <c r="S31" s="71" t="s">
        <v>129</v>
      </c>
      <c r="T31" s="71" t="s">
        <v>489</v>
      </c>
      <c r="U31" s="71" t="s">
        <v>131</v>
      </c>
      <c r="V31" s="71" t="s">
        <v>490</v>
      </c>
      <c r="W31" s="71" t="s">
        <v>114</v>
      </c>
      <c r="X31" s="71" t="s">
        <v>491</v>
      </c>
      <c r="Y31" s="72" t="n">
        <v>4.4</v>
      </c>
      <c r="Z31" s="69" t="n">
        <v>1514</v>
      </c>
      <c r="AA31" s="71" t="s">
        <v>492</v>
      </c>
      <c r="AB31" s="71" t="s">
        <v>493</v>
      </c>
      <c r="AC31" s="75" t="s">
        <v>494</v>
      </c>
      <c r="AD31" s="75" t="str">
        <f aca="false">HYPERLINK("https://www.google.com/maps/search/?api=1&amp;query="&amp;AE31&amp;","&amp;AF31,"Abrir mapa")</f>
        <v>Abrir mapa</v>
      </c>
      <c r="AE31" s="71" t="n">
        <v>40.3551958</v>
      </c>
      <c r="AF31" s="71" t="n">
        <v>-3.8230821</v>
      </c>
      <c r="AG31" s="76" t="n">
        <f aca="false">ROUND(F31*Notas!$B$8/Notas!$B$9*60,0)</f>
        <v>29</v>
      </c>
      <c r="AH31" s="77" t="str">
        <f aca="false">HYPERLINK("https://www.google.com/maps/dir/?api=1&amp;origin=Calle+de+Ayala+71,+Madrid&amp;destination="&amp;AE31&amp;","&amp;AF31&amp;"&amp;travelmode=driving","Ver ruta y tiempo")</f>
        <v>Ver ruta y tiempo</v>
      </c>
      <c r="AI31" s="78"/>
      <c r="AJ31" s="77" t="str">
        <f aca="false">IF(AI31="",HYPERLINK("https://www.google.com/search?q=site%3Ainstagram.com+Finca+La+Alquer%C3%ADa+bodas","Buscar en Instagram"),HYPERLINK("https://instagram.com/"&amp;SUBSTITUTE(AI31,"@",""),AI31))</f>
        <v>Buscar en Instagram</v>
      </c>
    </row>
    <row r="32" customFormat="false" ht="57.45" hidden="false" customHeight="false" outlineLevel="0" collapsed="false">
      <c r="A32" s="59" t="n">
        <v>31</v>
      </c>
      <c r="B32" s="60" t="s">
        <v>495</v>
      </c>
      <c r="C32" s="61" t="s">
        <v>496</v>
      </c>
      <c r="D32" s="61" t="s">
        <v>497</v>
      </c>
      <c r="E32" s="61" t="s">
        <v>498</v>
      </c>
      <c r="F32" s="62" t="n">
        <f aca="false">ROUND(6371*2*ASIN(SQRT(SIN(RADIANS(AE32-Notas!$B$4)/2)^2+COS(RADIANS(Notas!$B$4))*COS(RADIANS(AE32))*SIN(RADIANS(AF32-Notas!$B$5)/2)^2)),1)</f>
        <v>16.4</v>
      </c>
      <c r="G32" s="59" t="str">
        <f aca="false">IF(F32&lt;=Notas!$B$6,"Sí","No")</f>
        <v>Sí</v>
      </c>
      <c r="H32" s="61" t="s">
        <v>105</v>
      </c>
      <c r="I32" s="63"/>
      <c r="J32" s="63" t="str">
        <f aca="false">IF(ISNUMBER(I32),I32*Notas!$B$7,"")</f>
        <v/>
      </c>
      <c r="K32" s="64"/>
      <c r="L32" s="64" t="n">
        <v>500</v>
      </c>
      <c r="M32" s="61" t="s">
        <v>499</v>
      </c>
      <c r="N32" s="61" t="s">
        <v>500</v>
      </c>
      <c r="O32" s="61" t="s">
        <v>501</v>
      </c>
      <c r="P32" s="61" t="s">
        <v>502</v>
      </c>
      <c r="Q32" s="61" t="s">
        <v>109</v>
      </c>
      <c r="R32" s="61" t="s">
        <v>503</v>
      </c>
      <c r="S32" s="61" t="s">
        <v>129</v>
      </c>
      <c r="T32" s="61" t="s">
        <v>128</v>
      </c>
      <c r="U32" s="61" t="s">
        <v>131</v>
      </c>
      <c r="V32" s="61" t="s">
        <v>504</v>
      </c>
      <c r="W32" s="61" t="s">
        <v>114</v>
      </c>
      <c r="X32" s="61" t="s">
        <v>505</v>
      </c>
      <c r="Y32" s="62" t="n">
        <v>4.4</v>
      </c>
      <c r="Z32" s="59" t="n">
        <v>422</v>
      </c>
      <c r="AA32" s="61" t="s">
        <v>148</v>
      </c>
      <c r="AB32" s="61" t="s">
        <v>506</v>
      </c>
      <c r="AC32" s="65" t="s">
        <v>507</v>
      </c>
      <c r="AD32" s="65" t="str">
        <f aca="false">HYPERLINK("https://www.google.com/maps/search/?api=1&amp;query="&amp;AE32&amp;","&amp;AF32,"Abrir mapa")</f>
        <v>Abrir mapa</v>
      </c>
      <c r="AE32" s="61" t="n">
        <v>40.5730869</v>
      </c>
      <c r="AF32" s="61" t="n">
        <v>-3.7082064</v>
      </c>
      <c r="AG32" s="66" t="n">
        <f aca="false">ROUND(F32*Notas!$B$8/Notas!$B$9*60,0)</f>
        <v>32</v>
      </c>
      <c r="AH32" s="67" t="str">
        <f aca="false">HYPERLINK("https://www.google.com/maps/dir/?api=1&amp;origin=Calle+de+Ayala+71,+Madrid&amp;destination="&amp;AE32&amp;","&amp;AF32&amp;"&amp;travelmode=driving","Ver ruta y tiempo")</f>
        <v>Ver ruta y tiempo</v>
      </c>
      <c r="AI32" s="68"/>
      <c r="AJ32" s="67" t="str">
        <f aca="false">IF(AI32="",HYPERLINK("https://www.google.com/search?q=site%3Ainstagram.com+Finca+Las+Jarillas+bodas","Buscar en Instagram"),HYPERLINK("https://instagram.com/"&amp;SUBSTITUTE(AI32,"@",""),AI32))</f>
        <v>Buscar en Instagram</v>
      </c>
    </row>
    <row r="33" customFormat="false" ht="23.85" hidden="false" customHeight="false" outlineLevel="0" collapsed="false">
      <c r="A33" s="69" t="n">
        <v>32</v>
      </c>
      <c r="B33" s="70" t="s">
        <v>508</v>
      </c>
      <c r="C33" s="71" t="s">
        <v>509</v>
      </c>
      <c r="D33" s="71" t="s">
        <v>510</v>
      </c>
      <c r="E33" s="71" t="s">
        <v>511</v>
      </c>
      <c r="F33" s="72" t="n">
        <f aca="false">ROUND(6371*2*ASIN(SQRT(SIN(RADIANS(AE33-Notas!$B$4)/2)^2+COS(RADIANS(Notas!$B$4))*COS(RADIANS(AE33))*SIN(RADIANS(AF33-Notas!$B$5)/2)^2)),1)</f>
        <v>17</v>
      </c>
      <c r="G33" s="69" t="str">
        <f aca="false">IF(F33&lt;=Notas!$B$6,"Sí","No")</f>
        <v>Sí</v>
      </c>
      <c r="H33" s="71" t="s">
        <v>333</v>
      </c>
      <c r="I33" s="73" t="n">
        <v>145</v>
      </c>
      <c r="J33" s="73" t="n">
        <f aca="false">IF(ISNUMBER(I33),I33*Notas!$B$7,"")</f>
        <v>17400</v>
      </c>
      <c r="K33" s="74" t="n">
        <v>50</v>
      </c>
      <c r="L33" s="74" t="n">
        <v>500</v>
      </c>
      <c r="M33" s="71" t="s">
        <v>512</v>
      </c>
      <c r="N33" s="71" t="s">
        <v>351</v>
      </c>
      <c r="O33" s="71" t="s">
        <v>143</v>
      </c>
      <c r="P33" s="71" t="s">
        <v>513</v>
      </c>
      <c r="Q33" s="71" t="s">
        <v>109</v>
      </c>
      <c r="R33" s="71" t="s">
        <v>514</v>
      </c>
      <c r="S33" s="71" t="s">
        <v>111</v>
      </c>
      <c r="T33" s="71" t="s">
        <v>515</v>
      </c>
      <c r="U33" s="71" t="s">
        <v>160</v>
      </c>
      <c r="V33" s="71" t="s">
        <v>112</v>
      </c>
      <c r="W33" s="71" t="s">
        <v>114</v>
      </c>
      <c r="X33" s="71" t="s">
        <v>516</v>
      </c>
      <c r="Y33" s="72" t="n">
        <v>4.5</v>
      </c>
      <c r="Z33" s="69" t="n">
        <v>1347</v>
      </c>
      <c r="AA33" s="71" t="s">
        <v>517</v>
      </c>
      <c r="AB33" s="71" t="s">
        <v>518</v>
      </c>
      <c r="AC33" s="75" t="s">
        <v>519</v>
      </c>
      <c r="AD33" s="75" t="str">
        <f aca="false">HYPERLINK("https://www.google.com/maps/search/?api=1&amp;query="&amp;AE33&amp;","&amp;AF33,"Abrir mapa")</f>
        <v>Abrir mapa</v>
      </c>
      <c r="AE33" s="71" t="n">
        <v>40.4075211</v>
      </c>
      <c r="AF33" s="71" t="n">
        <v>-3.8755292</v>
      </c>
      <c r="AG33" s="76" t="n">
        <f aca="false">ROUND(F33*Notas!$B$8/Notas!$B$9*60,0)</f>
        <v>33</v>
      </c>
      <c r="AH33" s="77" t="str">
        <f aca="false">HYPERLINK("https://www.google.com/maps/dir/?api=1&amp;origin=Calle+de+Ayala+71,+Madrid&amp;destination="&amp;AE33&amp;","&amp;AF33&amp;"&amp;travelmode=driving","Ver ruta y tiempo")</f>
        <v>Ver ruta y tiempo</v>
      </c>
      <c r="AI33" s="78"/>
      <c r="AJ33" s="77" t="str">
        <f aca="false">IF(AI33="",HYPERLINK("https://www.google.com/search?q=site%3Ainstagram.com+El+Antiguo+Convento+de+Boadilla+del+Monte+bodas","Buscar en Instagram"),HYPERLINK("https://instagram.com/"&amp;SUBSTITUTE(AI33,"@",""),AI33))</f>
        <v>Buscar en Instagram</v>
      </c>
    </row>
    <row r="34" customFormat="false" ht="46.25" hidden="false" customHeight="false" outlineLevel="0" collapsed="false">
      <c r="A34" s="59" t="n">
        <v>33</v>
      </c>
      <c r="B34" s="60" t="s">
        <v>520</v>
      </c>
      <c r="C34" s="61" t="s">
        <v>521</v>
      </c>
      <c r="D34" s="61" t="s">
        <v>522</v>
      </c>
      <c r="E34" s="61" t="s">
        <v>523</v>
      </c>
      <c r="F34" s="62" t="n">
        <f aca="false">ROUND(6371*2*ASIN(SQRT(SIN(RADIANS(AE34-Notas!$B$4)/2)^2+COS(RADIANS(Notas!$B$4))*COS(RADIANS(AE34))*SIN(RADIANS(AF34-Notas!$B$5)/2)^2)),1)</f>
        <v>17.1</v>
      </c>
      <c r="G34" s="59" t="str">
        <f aca="false">IF(F34&lt;=Notas!$B$6,"Sí","No")</f>
        <v>Sí</v>
      </c>
      <c r="H34" s="61" t="s">
        <v>105</v>
      </c>
      <c r="I34" s="63"/>
      <c r="J34" s="63" t="str">
        <f aca="false">IF(ISNUMBER(I34),I34*Notas!$B$7,"")</f>
        <v/>
      </c>
      <c r="K34" s="64" t="n">
        <v>30</v>
      </c>
      <c r="L34" s="64" t="n">
        <v>550</v>
      </c>
      <c r="M34" s="61" t="s">
        <v>524</v>
      </c>
      <c r="N34" s="61" t="s">
        <v>525</v>
      </c>
      <c r="O34" s="61" t="s">
        <v>526</v>
      </c>
      <c r="P34" s="61" t="s">
        <v>527</v>
      </c>
      <c r="Q34" s="61" t="s">
        <v>109</v>
      </c>
      <c r="R34" s="61" t="s">
        <v>128</v>
      </c>
      <c r="S34" s="61" t="s">
        <v>129</v>
      </c>
      <c r="T34" s="61" t="s">
        <v>128</v>
      </c>
      <c r="U34" s="61" t="s">
        <v>131</v>
      </c>
      <c r="V34" s="61" t="s">
        <v>112</v>
      </c>
      <c r="W34" s="61" t="s">
        <v>528</v>
      </c>
      <c r="X34" s="61" t="s">
        <v>529</v>
      </c>
      <c r="Y34" s="62" t="n">
        <v>4.6</v>
      </c>
      <c r="Z34" s="59" t="n">
        <v>604</v>
      </c>
      <c r="AA34" s="61" t="s">
        <v>148</v>
      </c>
      <c r="AB34" s="61" t="s">
        <v>506</v>
      </c>
      <c r="AC34" s="65" t="s">
        <v>530</v>
      </c>
      <c r="AD34" s="65" t="str">
        <f aca="false">HYPERLINK("https://www.google.com/maps/search/?api=1&amp;query="&amp;AE34&amp;","&amp;AF34,"Abrir mapa")</f>
        <v>Abrir mapa</v>
      </c>
      <c r="AE34" s="61" t="n">
        <v>40.4325216</v>
      </c>
      <c r="AF34" s="61" t="n">
        <v>-3.4737998</v>
      </c>
      <c r="AG34" s="66" t="n">
        <f aca="false">ROUND(F34*Notas!$B$8/Notas!$B$9*60,0)</f>
        <v>33</v>
      </c>
      <c r="AH34" s="67" t="str">
        <f aca="false">HYPERLINK("https://www.google.com/maps/dir/?api=1&amp;origin=Calle+de+Ayala+71,+Madrid&amp;destination="&amp;AE34&amp;","&amp;AF34&amp;"&amp;travelmode=driving","Ver ruta y tiempo")</f>
        <v>Ver ruta y tiempo</v>
      </c>
      <c r="AI34" s="68"/>
      <c r="AJ34" s="67" t="str">
        <f aca="false">IF(AI34="",HYPERLINK("https://www.google.com/search?q=site%3Ainstagram.com+Palacio+de+Aldovea+bodas","Buscar en Instagram"),HYPERLINK("https://instagram.com/"&amp;SUBSTITUTE(AI34,"@",""),AI34))</f>
        <v>Buscar en Instagram</v>
      </c>
    </row>
    <row r="35" customFormat="false" ht="68.65" hidden="false" customHeight="false" outlineLevel="0" collapsed="false">
      <c r="A35" s="69" t="n">
        <v>34</v>
      </c>
      <c r="B35" s="70" t="s">
        <v>531</v>
      </c>
      <c r="C35" s="71" t="s">
        <v>532</v>
      </c>
      <c r="D35" s="71" t="s">
        <v>533</v>
      </c>
      <c r="E35" s="71" t="s">
        <v>534</v>
      </c>
      <c r="F35" s="72" t="n">
        <f aca="false">ROUND(6371*2*ASIN(SQRT(SIN(RADIANS(AE35-Notas!$B$4)/2)^2+COS(RADIANS(Notas!$B$4))*COS(RADIANS(AE35))*SIN(RADIANS(AF35-Notas!$B$5)/2)^2)),1)</f>
        <v>17.2</v>
      </c>
      <c r="G35" s="69" t="str">
        <f aca="false">IF(F35&lt;=Notas!$B$6,"Sí","No")</f>
        <v>Sí</v>
      </c>
      <c r="H35" s="71" t="s">
        <v>535</v>
      </c>
      <c r="I35" s="73" t="n">
        <v>145</v>
      </c>
      <c r="J35" s="73" t="n">
        <f aca="false">IF(ISNUMBER(I35),I35*Notas!$B$7,"")</f>
        <v>17400</v>
      </c>
      <c r="K35" s="74"/>
      <c r="L35" s="74"/>
      <c r="M35" s="71" t="s">
        <v>105</v>
      </c>
      <c r="N35" s="71" t="s">
        <v>536</v>
      </c>
      <c r="O35" s="71" t="s">
        <v>271</v>
      </c>
      <c r="P35" s="71" t="s">
        <v>537</v>
      </c>
      <c r="Q35" s="71" t="s">
        <v>109</v>
      </c>
      <c r="R35" s="71" t="s">
        <v>538</v>
      </c>
      <c r="S35" s="71" t="s">
        <v>129</v>
      </c>
      <c r="T35" s="71" t="s">
        <v>539</v>
      </c>
      <c r="U35" s="71" t="s">
        <v>131</v>
      </c>
      <c r="V35" s="71" t="s">
        <v>540</v>
      </c>
      <c r="W35" s="71" t="s">
        <v>541</v>
      </c>
      <c r="X35" s="71" t="s">
        <v>542</v>
      </c>
      <c r="Y35" s="72" t="n">
        <v>4.3</v>
      </c>
      <c r="Z35" s="69" t="n">
        <v>441</v>
      </c>
      <c r="AA35" s="71" t="s">
        <v>148</v>
      </c>
      <c r="AB35" s="71" t="s">
        <v>543</v>
      </c>
      <c r="AC35" s="75" t="s">
        <v>544</v>
      </c>
      <c r="AD35" s="75" t="str">
        <f aca="false">HYPERLINK("https://www.google.com/maps/search/?api=1&amp;query="&amp;AE35&amp;","&amp;AF35,"Abrir mapa")</f>
        <v>Abrir mapa</v>
      </c>
      <c r="AE35" s="71" t="n">
        <v>40.4856712</v>
      </c>
      <c r="AF35" s="71" t="n">
        <v>-3.8643703</v>
      </c>
      <c r="AG35" s="76" t="n">
        <f aca="false">ROUND(F35*Notas!$B$8/Notas!$B$9*60,0)</f>
        <v>34</v>
      </c>
      <c r="AH35" s="77" t="str">
        <f aca="false">HYPERLINK("https://www.google.com/maps/dir/?api=1&amp;origin=Calle+de+Ayala+71,+Madrid&amp;destination="&amp;AE35&amp;","&amp;AF35&amp;"&amp;travelmode=driving","Ver ruta y tiempo")</f>
        <v>Ver ruta y tiempo</v>
      </c>
      <c r="AI35" s="78"/>
      <c r="AJ35" s="77" t="str">
        <f aca="false">IF(AI35="",HYPERLINK("https://www.google.com/search?q=site%3Ainstagram.com+Finca+Villa+Mar%C3%ADa+bodas","Buscar en Instagram"),HYPERLINK("https://instagram.com/"&amp;SUBSTITUTE(AI35,"@",""),AI35))</f>
        <v>Buscar en Instagram</v>
      </c>
    </row>
    <row r="36" customFormat="false" ht="23.85" hidden="false" customHeight="false" outlineLevel="0" collapsed="false">
      <c r="A36" s="59" t="n">
        <v>35</v>
      </c>
      <c r="B36" s="60" t="s">
        <v>545</v>
      </c>
      <c r="C36" s="61" t="s">
        <v>546</v>
      </c>
      <c r="D36" s="61" t="s">
        <v>510</v>
      </c>
      <c r="E36" s="61" t="s">
        <v>547</v>
      </c>
      <c r="F36" s="62" t="n">
        <f aca="false">ROUND(6371*2*ASIN(SQRT(SIN(RADIANS(AE36-Notas!$B$4)/2)^2+COS(RADIANS(Notas!$B$4))*COS(RADIANS(AE36))*SIN(RADIANS(AF36-Notas!$B$5)/2)^2)),1)</f>
        <v>17.2</v>
      </c>
      <c r="G36" s="59" t="str">
        <f aca="false">IF(F36&lt;=Notas!$B$6,"Sí","No")</f>
        <v>Sí</v>
      </c>
      <c r="H36" s="61" t="s">
        <v>548</v>
      </c>
      <c r="I36" s="63" t="n">
        <v>120</v>
      </c>
      <c r="J36" s="63" t="n">
        <f aca="false">IF(ISNUMBER(I36),I36*Notas!$B$7,"")</f>
        <v>14400</v>
      </c>
      <c r="K36" s="64"/>
      <c r="L36" s="64" t="n">
        <v>300</v>
      </c>
      <c r="M36" s="61" t="s">
        <v>549</v>
      </c>
      <c r="N36" s="61" t="s">
        <v>351</v>
      </c>
      <c r="O36" s="61" t="s">
        <v>143</v>
      </c>
      <c r="P36" s="61" t="s">
        <v>550</v>
      </c>
      <c r="Q36" s="61" t="s">
        <v>109</v>
      </c>
      <c r="R36" s="61" t="s">
        <v>551</v>
      </c>
      <c r="S36" s="61" t="s">
        <v>129</v>
      </c>
      <c r="T36" s="61" t="s">
        <v>145</v>
      </c>
      <c r="U36" s="61" t="s">
        <v>131</v>
      </c>
      <c r="V36" s="61" t="s">
        <v>552</v>
      </c>
      <c r="W36" s="61" t="s">
        <v>553</v>
      </c>
      <c r="X36" s="61" t="s">
        <v>554</v>
      </c>
      <c r="Y36" s="62" t="n">
        <v>4.2</v>
      </c>
      <c r="Z36" s="59" t="n">
        <v>1130</v>
      </c>
      <c r="AA36" s="61" t="s">
        <v>148</v>
      </c>
      <c r="AB36" s="61" t="s">
        <v>555</v>
      </c>
      <c r="AC36" s="65" t="s">
        <v>556</v>
      </c>
      <c r="AD36" s="65" t="str">
        <f aca="false">HYPERLINK("https://www.google.com/maps/search/?api=1&amp;query="&amp;AE36&amp;","&amp;AF36,"Abrir mapa")</f>
        <v>Abrir mapa</v>
      </c>
      <c r="AE36" s="61" t="n">
        <v>40.4026399</v>
      </c>
      <c r="AF36" s="61" t="n">
        <v>-3.876775</v>
      </c>
      <c r="AG36" s="66" t="n">
        <f aca="false">ROUND(F36*Notas!$B$8/Notas!$B$9*60,0)</f>
        <v>34</v>
      </c>
      <c r="AH36" s="67" t="str">
        <f aca="false">HYPERLINK("https://www.google.com/maps/dir/?api=1&amp;origin=Calle+de+Ayala+71,+Madrid&amp;destination="&amp;AE36&amp;","&amp;AF36&amp;"&amp;travelmode=driving","Ver ruta y tiempo")</f>
        <v>Ver ruta y tiempo</v>
      </c>
      <c r="AI36" s="68"/>
      <c r="AJ36" s="67" t="str">
        <f aca="false">IF(AI36="",HYPERLINK("https://www.google.com/search?q=site%3Ainstagram.com+Gasterea+Finca+Restaurante+bodas","Buscar en Instagram"),HYPERLINK("https://instagram.com/"&amp;SUBSTITUTE(AI36,"@",""),AI36))</f>
        <v>Buscar en Instagram</v>
      </c>
    </row>
    <row r="37" customFormat="false" ht="23.85" hidden="false" customHeight="false" outlineLevel="0" collapsed="false">
      <c r="A37" s="69" t="n">
        <v>36</v>
      </c>
      <c r="B37" s="70" t="s">
        <v>557</v>
      </c>
      <c r="C37" s="71" t="s">
        <v>558</v>
      </c>
      <c r="D37" s="71" t="s">
        <v>559</v>
      </c>
      <c r="E37" s="71" t="s">
        <v>560</v>
      </c>
      <c r="F37" s="72" t="n">
        <f aca="false">ROUND(6371*2*ASIN(SQRT(SIN(RADIANS(AE37-Notas!$B$4)/2)^2+COS(RADIANS(Notas!$B$4))*COS(RADIANS(AE37))*SIN(RADIANS(AF37-Notas!$B$5)/2)^2)),1)</f>
        <v>17.5</v>
      </c>
      <c r="G37" s="69" t="str">
        <f aca="false">IF(F37&lt;=Notas!$B$6,"Sí","No")</f>
        <v>Sí</v>
      </c>
      <c r="H37" s="71" t="s">
        <v>561</v>
      </c>
      <c r="I37" s="73" t="n">
        <v>50</v>
      </c>
      <c r="J37" s="73" t="n">
        <f aca="false">IF(ISNUMBER(I37),I37*Notas!$B$7,"")</f>
        <v>6000</v>
      </c>
      <c r="K37" s="74" t="n">
        <v>20</v>
      </c>
      <c r="L37" s="74" t="n">
        <v>300</v>
      </c>
      <c r="M37" s="71" t="s">
        <v>562</v>
      </c>
      <c r="N37" s="71" t="s">
        <v>563</v>
      </c>
      <c r="O37" s="71" t="s">
        <v>143</v>
      </c>
      <c r="P37" s="71" t="s">
        <v>564</v>
      </c>
      <c r="Q37" s="71" t="s">
        <v>109</v>
      </c>
      <c r="R37" s="71" t="s">
        <v>146</v>
      </c>
      <c r="S37" s="71" t="s">
        <v>129</v>
      </c>
      <c r="T37" s="71" t="s">
        <v>145</v>
      </c>
      <c r="U37" s="71" t="s">
        <v>131</v>
      </c>
      <c r="V37" s="71" t="s">
        <v>114</v>
      </c>
      <c r="W37" s="71" t="s">
        <v>114</v>
      </c>
      <c r="X37" s="71" t="s">
        <v>565</v>
      </c>
      <c r="Y37" s="72" t="n">
        <v>4.1</v>
      </c>
      <c r="Z37" s="69" t="n">
        <v>256</v>
      </c>
      <c r="AA37" s="71" t="s">
        <v>148</v>
      </c>
      <c r="AB37" s="71" t="s">
        <v>566</v>
      </c>
      <c r="AC37" s="75" t="s">
        <v>567</v>
      </c>
      <c r="AD37" s="75" t="str">
        <f aca="false">HYPERLINK("https://www.google.com/maps/search/?api=1&amp;query="&amp;AE37&amp;","&amp;AF37,"Abrir mapa")</f>
        <v>Abrir mapa</v>
      </c>
      <c r="AE37" s="71" t="n">
        <v>40.5648612</v>
      </c>
      <c r="AF37" s="71" t="n">
        <v>-3.5742723</v>
      </c>
      <c r="AG37" s="76" t="n">
        <f aca="false">ROUND(F37*Notas!$B$8/Notas!$B$9*60,0)</f>
        <v>34</v>
      </c>
      <c r="AH37" s="77" t="str">
        <f aca="false">HYPERLINK("https://www.google.com/maps/dir/?api=1&amp;origin=Calle+de+Ayala+71,+Madrid&amp;destination="&amp;AE37&amp;","&amp;AF37&amp;"&amp;travelmode=driving","Ver ruta y tiempo")</f>
        <v>Ver ruta y tiempo</v>
      </c>
      <c r="AI37" s="78"/>
      <c r="AJ37" s="77" t="str">
        <f aca="false">IF(AI37="",HYPERLINK("https://www.google.com/search?q=site%3Ainstagram.com+Finca+La+Constancia+bodas","Buscar en Instagram"),HYPERLINK("https://instagram.com/"&amp;SUBSTITUTE(AI37,"@",""),AI37))</f>
        <v>Buscar en Instagram</v>
      </c>
    </row>
    <row r="38" customFormat="false" ht="23.85" hidden="false" customHeight="false" outlineLevel="0" collapsed="false">
      <c r="A38" s="59" t="n">
        <v>37</v>
      </c>
      <c r="B38" s="60" t="s">
        <v>568</v>
      </c>
      <c r="C38" s="61" t="s">
        <v>569</v>
      </c>
      <c r="D38" s="61" t="s">
        <v>570</v>
      </c>
      <c r="E38" s="61" t="s">
        <v>571</v>
      </c>
      <c r="F38" s="62" t="n">
        <f aca="false">ROUND(6371*2*ASIN(SQRT(SIN(RADIANS(AE38-Notas!$B$4)/2)^2+COS(RADIANS(Notas!$B$4))*COS(RADIANS(AE38))*SIN(RADIANS(AF38-Notas!$B$5)/2)^2)),1)</f>
        <v>18.9</v>
      </c>
      <c r="G38" s="59" t="str">
        <f aca="false">IF(F38&lt;=Notas!$B$6,"Sí","No")</f>
        <v>Sí</v>
      </c>
      <c r="H38" s="61" t="s">
        <v>268</v>
      </c>
      <c r="I38" s="63" t="n">
        <v>120</v>
      </c>
      <c r="J38" s="63" t="n">
        <f aca="false">IF(ISNUMBER(I38),I38*Notas!$B$7,"")</f>
        <v>14400</v>
      </c>
      <c r="K38" s="64" t="n">
        <v>50</v>
      </c>
      <c r="L38" s="64" t="n">
        <v>800</v>
      </c>
      <c r="M38" s="61" t="s">
        <v>572</v>
      </c>
      <c r="N38" s="61" t="s">
        <v>351</v>
      </c>
      <c r="O38" s="61" t="s">
        <v>143</v>
      </c>
      <c r="P38" s="61" t="s">
        <v>573</v>
      </c>
      <c r="Q38" s="61" t="s">
        <v>109</v>
      </c>
      <c r="R38" s="61" t="s">
        <v>574</v>
      </c>
      <c r="S38" s="61" t="s">
        <v>129</v>
      </c>
      <c r="T38" s="61" t="s">
        <v>112</v>
      </c>
      <c r="U38" s="61" t="s">
        <v>131</v>
      </c>
      <c r="V38" s="61" t="s">
        <v>575</v>
      </c>
      <c r="W38" s="61" t="s">
        <v>114</v>
      </c>
      <c r="X38" s="61" t="s">
        <v>576</v>
      </c>
      <c r="Y38" s="62" t="n">
        <v>4.3</v>
      </c>
      <c r="Z38" s="59" t="n">
        <v>1082</v>
      </c>
      <c r="AA38" s="61" t="s">
        <v>577</v>
      </c>
      <c r="AB38" s="61" t="s">
        <v>578</v>
      </c>
      <c r="AC38" s="65" t="s">
        <v>579</v>
      </c>
      <c r="AD38" s="65" t="str">
        <f aca="false">HYPERLINK("https://www.google.com/maps/search/?api=1&amp;query="&amp;AE38&amp;","&amp;AF38,"Abrir mapa")</f>
        <v>Abrir mapa</v>
      </c>
      <c r="AE38" s="61" t="n">
        <v>40.5819997</v>
      </c>
      <c r="AF38" s="61" t="n">
        <v>-3.5824827</v>
      </c>
      <c r="AG38" s="66" t="n">
        <f aca="false">ROUND(F38*Notas!$B$8/Notas!$B$9*60,0)</f>
        <v>37</v>
      </c>
      <c r="AH38" s="67" t="str">
        <f aca="false">HYPERLINK("https://www.google.com/maps/dir/?api=1&amp;origin=Calle+de+Ayala+71,+Madrid&amp;destination="&amp;AE38&amp;","&amp;AF38&amp;"&amp;travelmode=driving","Ver ruta y tiempo")</f>
        <v>Ver ruta y tiempo</v>
      </c>
      <c r="AI38" s="68"/>
      <c r="AJ38" s="67" t="str">
        <f aca="false">IF(AI38="",HYPERLINK("https://www.google.com/search?q=site%3Ainstagram.com+Villa+Laureana+bodas","Buscar en Instagram"),HYPERLINK("https://instagram.com/"&amp;SUBSTITUTE(AI38,"@",""),AI38))</f>
        <v>Buscar en Instagram</v>
      </c>
    </row>
    <row r="39" customFormat="false" ht="23.85" hidden="false" customHeight="false" outlineLevel="0" collapsed="false">
      <c r="A39" s="69" t="n">
        <v>38</v>
      </c>
      <c r="B39" s="70" t="s">
        <v>580</v>
      </c>
      <c r="C39" s="71" t="s">
        <v>359</v>
      </c>
      <c r="D39" s="71" t="s">
        <v>581</v>
      </c>
      <c r="E39" s="71" t="s">
        <v>582</v>
      </c>
      <c r="F39" s="72" t="n">
        <f aca="false">ROUND(6371*2*ASIN(SQRT(SIN(RADIANS(AE39-Notas!$B$4)/2)^2+COS(RADIANS(Notas!$B$4))*COS(RADIANS(AE39))*SIN(RADIANS(AF39-Notas!$B$5)/2)^2)),1)</f>
        <v>19.2</v>
      </c>
      <c r="G39" s="69" t="str">
        <f aca="false">IF(F39&lt;=Notas!$B$6,"Sí","No")</f>
        <v>Sí</v>
      </c>
      <c r="H39" s="71" t="s">
        <v>583</v>
      </c>
      <c r="I39" s="73" t="n">
        <v>90</v>
      </c>
      <c r="J39" s="73" t="n">
        <f aca="false">IF(ISNUMBER(I39),I39*Notas!$B$7,"")</f>
        <v>10800</v>
      </c>
      <c r="K39" s="74" t="n">
        <v>25</v>
      </c>
      <c r="L39" s="74" t="n">
        <v>300</v>
      </c>
      <c r="M39" s="71" t="s">
        <v>584</v>
      </c>
      <c r="N39" s="71" t="s">
        <v>585</v>
      </c>
      <c r="O39" s="71" t="s">
        <v>143</v>
      </c>
      <c r="P39" s="71" t="s">
        <v>586</v>
      </c>
      <c r="Q39" s="71" t="s">
        <v>145</v>
      </c>
      <c r="R39" s="71" t="s">
        <v>128</v>
      </c>
      <c r="S39" s="71" t="s">
        <v>129</v>
      </c>
      <c r="T39" s="71" t="s">
        <v>112</v>
      </c>
      <c r="U39" s="71" t="s">
        <v>131</v>
      </c>
      <c r="V39" s="71" t="s">
        <v>114</v>
      </c>
      <c r="W39" s="71" t="s">
        <v>114</v>
      </c>
      <c r="X39" s="71" t="s">
        <v>587</v>
      </c>
      <c r="Y39" s="72" t="n">
        <v>4</v>
      </c>
      <c r="Z39" s="69" t="n">
        <v>954</v>
      </c>
      <c r="AA39" s="71" t="s">
        <v>588</v>
      </c>
      <c r="AB39" s="71" t="s">
        <v>589</v>
      </c>
      <c r="AC39" s="75" t="s">
        <v>590</v>
      </c>
      <c r="AD39" s="75" t="str">
        <f aca="false">HYPERLINK("https://www.google.com/maps/search/?api=1&amp;query="&amp;AE39&amp;","&amp;AF39,"Abrir mapa")</f>
        <v>Abrir mapa</v>
      </c>
      <c r="AE39" s="71" t="n">
        <v>40.2665817</v>
      </c>
      <c r="AF39" s="71" t="n">
        <v>-3.7582488</v>
      </c>
      <c r="AG39" s="76" t="n">
        <f aca="false">ROUND(F39*Notas!$B$8/Notas!$B$9*60,0)</f>
        <v>37</v>
      </c>
      <c r="AH39" s="77" t="str">
        <f aca="false">HYPERLINK("https://www.google.com/maps/dir/?api=1&amp;origin=Calle+de+Ayala+71,+Madrid&amp;destination="&amp;AE39&amp;","&amp;AF39&amp;"&amp;travelmode=driving","Ver ruta y tiempo")</f>
        <v>Ver ruta y tiempo</v>
      </c>
      <c r="AI39" s="78"/>
      <c r="AJ39" s="77" t="str">
        <f aca="false">IF(AI39="",HYPERLINK("https://www.google.com/search?q=site%3Ainstagram.com+Se%C3%B1or%C3%ADo+de+Ajuria+bodas","Buscar en Instagram"),HYPERLINK("https://instagram.com/"&amp;SUBSTITUTE(AI39,"@",""),AI39))</f>
        <v>Buscar en Instagram</v>
      </c>
    </row>
  </sheetData>
  <autoFilter ref="A1:AJ39"/>
  <conditionalFormatting sqref="O2:O39">
    <cfRule type="expression" priority="2" aboveAverage="0" equalAverage="0" bottom="0" percent="0" rank="0" text="" dxfId="0">
      <formula>LEFT(O2,2)="No"</formula>
    </cfRule>
    <cfRule type="expression" priority="3" aboveAverage="0" equalAverage="0" bottom="0" percent="0" rank="0" text="" dxfId="1">
      <formula>OR(LEFT(O2,5)="Posib",LEFT(O2,5)="Proba",LEFT(O2,5)="Lista",LEFT(O2,2)="Sí")</formula>
    </cfRule>
    <cfRule type="expression" priority="4" aboveAverage="0" equalAverage="0" bottom="0" percent="0" rank="0" text="" dxfId="2">
      <formula>LEFT(O2,4)="Cons"</formula>
    </cfRule>
  </conditionalFormatting>
  <conditionalFormatting sqref="G2:G39">
    <cfRule type="expression" priority="5" aboveAverage="0" equalAverage="0" bottom="0" percent="0" rank="0" text="" dxfId="0">
      <formula>G2="No"</formula>
    </cfRule>
  </conditionalFormatting>
  <hyperlinks>
    <hyperlink ref="AC2" r:id="rId1" display="https://www.bodas.net/hoteles/jardin-de-ventas--e7903"/>
    <hyperlink ref="AC3" r:id="rId2" display="https://www.bodas.net/fincas/real-fabrica-de-tapices-&amp;-el-puchero-de-plata--e76351"/>
    <hyperlink ref="AC4" r:id="rId3" display="https://www.bodas.net/salones-de-boda/la-quinta-by-madrid-catering--e252629"/>
    <hyperlink ref="AC5" r:id="rId4" display="https://www.bodas.net/fincas/quinta-de-los-molinos-by-elba--e109054"/>
    <hyperlink ref="AC6" r:id="rId5" display="https://www.timeout.es/madrid/es/que-hacer/palacio-duques-de-pastrana"/>
    <hyperlink ref="AC7" r:id="rId6" display="https://www.bodas.net/fincas/cafe-de-oriente-museo-del-traje--e47950"/>
    <hyperlink ref="AC8" r:id="rId7" display="https://www.bodas.net/fincas/casa-de-burgos--e121847"/>
    <hyperlink ref="AC9" r:id="rId8" display="https://www.bodas.net/fincas/la-masia-de-jose-luis--e3442"/>
    <hyperlink ref="AC10" r:id="rId9" display="https://www.ccvm.es/sites/default/files/users/user7/BODAS%202026.pdf"/>
    <hyperlink ref="AC11" r:id="rId10" display="https://www.bodas.net/fincas/mirador-del-olivar--e16700"/>
    <hyperlink ref="AC12" r:id="rId11" display="https://www.bodas.net/fincas/club-de-tiro--e81609"/>
    <hyperlink ref="AC13" r:id="rId12" display="https://www.bodas.net/fincas/fuentearcos--e1946"/>
    <hyperlink ref="AC14" r:id="rId13" display="https://www.bodas.net/fincas/finca-solimpar--e2670"/>
    <hyperlink ref="AC15" r:id="rId14" display="https://www.bodas.net/restaurantes/el-jardin-de-somontes--e193863"/>
    <hyperlink ref="AC16" r:id="rId15" display="https://www.bodas.net/fincas/la-casa-de-monico--e2021"/>
    <hyperlink ref="AC17" r:id="rId16" display="https://www.salir.com/finca-la-gaivota-madrid-neg-141910.html"/>
    <hyperlink ref="AC18" r:id="rId17" display="https://www.bodas.net/fincas/finca-astilbe--e218138"/>
    <hyperlink ref="AC19" r:id="rId18" display="https://www.bodas.net/fincas/el-mirador-de-cuatrovientos--e3257"/>
    <hyperlink ref="AC20" r:id="rId19" display="https://www.bodas.net/fincas/u-zalacain-la-finca--e176648"/>
    <hyperlink ref="AC21" r:id="rId20" display="https://www.bodas.net/fincas/finca-la-munoza-la-cococha--e173003"/>
    <hyperlink ref="AC22" r:id="rId21" display="https://www.bodas.net/fincas/real-club-la-moraleja--e81710"/>
    <hyperlink ref="AC25" r:id="rId22" display="https://www.bodas.net/fincas/initium-artigot-catering--e258289"/>
    <hyperlink ref="AC27" r:id="rId23" display="https://www.bodas.net/fincas/torzares--e286605"/>
    <hyperlink ref="AC29" r:id="rId24" display="https://www.bodas.net/fincas/grupo-negralejo--e2063"/>
    <hyperlink ref="AC30" r:id="rId25" display="https://www.bodas.net/fincas/grupo-negralejo--e2063"/>
    <hyperlink ref="AC31" r:id="rId26" display="https://www.bodas.net/fincas/finca-la-alqueria--e2004"/>
    <hyperlink ref="AC32" r:id="rId27" display="https://www.naboo.app/explorer/houses/finca-las-jarillas"/>
    <hyperlink ref="AC33" r:id="rId28" display="https://www.bodas.net/fincas/el-antiguo-convento-de-boadilla-del-monte--e1942"/>
    <hyperlink ref="AC34" r:id="rId29" display="https://www.hola.com/novias/20221231223804/espacios-boda-muchos-invitados-espana/"/>
    <hyperlink ref="AC35" r:id="rId30" display="https://www.bodas.net/fincas/finca-villa-maria--e2079"/>
    <hyperlink ref="AC36" r:id="rId31" display="https://www.bodas.net/bodas/banquetes/restaurantes/madrid/boadilla-del-monte"/>
    <hyperlink ref="AC37" r:id="rId32" display="https://www.bodas.net/salones-de-boda/finca-la-constancia--e204294"/>
    <hyperlink ref="AC38" r:id="rId33" display="https://www.bodas.net/fincas/villa-laureana--e122599"/>
    <hyperlink ref="AC39" r:id="rId34" display="https://www.bodas.net/fincas/senorio-de-ajuria--e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40"/>
    <col collapsed="false" customWidth="true" hidden="false" outlineLevel="0" max="16" min="15" style="0" width="11"/>
  </cols>
  <sheetData>
    <row r="1" customFormat="false" ht="36" hidden="false" customHeight="true" outlineLevel="0" collapsed="false">
      <c r="A1" s="58" t="s">
        <v>22</v>
      </c>
      <c r="B1" s="58" t="s">
        <v>81</v>
      </c>
      <c r="C1" s="58" t="s">
        <v>62</v>
      </c>
      <c r="D1" s="58" t="s">
        <v>82</v>
      </c>
      <c r="E1" s="58" t="s">
        <v>64</v>
      </c>
      <c r="F1" s="58" t="s">
        <v>83</v>
      </c>
      <c r="G1" s="58" t="s">
        <v>85</v>
      </c>
      <c r="H1" s="58" t="s">
        <v>65</v>
      </c>
      <c r="I1" s="58" t="s">
        <v>17</v>
      </c>
      <c r="J1" s="58" t="s">
        <v>76</v>
      </c>
      <c r="K1" s="58" t="s">
        <v>90</v>
      </c>
      <c r="L1" s="58" t="s">
        <v>91</v>
      </c>
      <c r="M1" s="58" t="s">
        <v>77</v>
      </c>
      <c r="N1" s="58" t="s">
        <v>591</v>
      </c>
      <c r="O1" s="58" t="s">
        <v>95</v>
      </c>
      <c r="P1" s="58" t="s">
        <v>96</v>
      </c>
    </row>
    <row r="2" customFormat="false" ht="46.25" hidden="false" customHeight="false" outlineLevel="0" collapsed="false">
      <c r="A2" s="59" t="n">
        <v>1</v>
      </c>
      <c r="B2" s="60" t="s">
        <v>592</v>
      </c>
      <c r="C2" s="61" t="s">
        <v>593</v>
      </c>
      <c r="D2" s="61" t="s">
        <v>594</v>
      </c>
      <c r="E2" s="61" t="s">
        <v>595</v>
      </c>
      <c r="F2" s="62" t="n">
        <f aca="false">ROUND(6371*2*ASIN(SQRT(SIN(RADIANS(O2-Notas!$B$4)/2)^2+COS(RADIANS(Notas!$B$4))*COS(RADIANS(O2))*SIN(RADIANS(P2-Notas!$B$5)/2)^2)),1)</f>
        <v>20.2</v>
      </c>
      <c r="G2" s="61" t="s">
        <v>105</v>
      </c>
      <c r="H2" s="61" t="s">
        <v>596</v>
      </c>
      <c r="I2" s="61" t="s">
        <v>597</v>
      </c>
      <c r="J2" s="61" t="s">
        <v>598</v>
      </c>
      <c r="K2" s="59" t="n">
        <v>4.6</v>
      </c>
      <c r="L2" s="59" t="n">
        <v>808</v>
      </c>
      <c r="M2" s="61" t="s">
        <v>599</v>
      </c>
      <c r="N2" s="65" t="s">
        <v>600</v>
      </c>
      <c r="O2" s="61" t="n">
        <v>40.6077804</v>
      </c>
      <c r="P2" s="61" t="n">
        <v>-3.6467885</v>
      </c>
    </row>
    <row r="3" customFormat="false" ht="23.85" hidden="false" customHeight="false" outlineLevel="0" collapsed="false">
      <c r="A3" s="69" t="n">
        <v>2</v>
      </c>
      <c r="B3" s="70" t="s">
        <v>601</v>
      </c>
      <c r="C3" s="71" t="s">
        <v>602</v>
      </c>
      <c r="D3" s="71" t="s">
        <v>603</v>
      </c>
      <c r="E3" s="71" t="s">
        <v>604</v>
      </c>
      <c r="F3" s="72" t="n">
        <f aca="false">ROUND(6371*2*ASIN(SQRT(SIN(RADIANS(O3-Notas!$B$4)/2)^2+COS(RADIANS(Notas!$B$4))*COS(RADIANS(O3))*SIN(RADIANS(P3-Notas!$B$5)/2)^2)),1)</f>
        <v>20.3</v>
      </c>
      <c r="G3" s="71" t="s">
        <v>105</v>
      </c>
      <c r="H3" s="71" t="s">
        <v>105</v>
      </c>
      <c r="I3" s="71" t="s">
        <v>605</v>
      </c>
      <c r="J3" s="71" t="s">
        <v>606</v>
      </c>
      <c r="K3" s="69" t="n">
        <v>5</v>
      </c>
      <c r="L3" s="69" t="n">
        <v>47</v>
      </c>
      <c r="M3" s="71" t="s">
        <v>607</v>
      </c>
      <c r="N3" s="71" t="s">
        <v>402</v>
      </c>
      <c r="O3" s="71" t="n">
        <v>40.5873985</v>
      </c>
      <c r="P3" s="71" t="n">
        <v>-3.5602369</v>
      </c>
    </row>
    <row r="4" customFormat="false" ht="23.85" hidden="false" customHeight="false" outlineLevel="0" collapsed="false">
      <c r="A4" s="59" t="n">
        <v>3</v>
      </c>
      <c r="B4" s="60" t="s">
        <v>608</v>
      </c>
      <c r="C4" s="61" t="s">
        <v>609</v>
      </c>
      <c r="D4" s="61" t="s">
        <v>610</v>
      </c>
      <c r="E4" s="61" t="s">
        <v>611</v>
      </c>
      <c r="F4" s="62" t="n">
        <f aca="false">ROUND(6371*2*ASIN(SQRT(SIN(RADIANS(O4-Notas!$B$4)/2)^2+COS(RADIANS(Notas!$B$4))*COS(RADIANS(O4))*SIN(RADIANS(P4-Notas!$B$5)/2)^2)),1)</f>
        <v>20.4</v>
      </c>
      <c r="G4" s="61" t="s">
        <v>105</v>
      </c>
      <c r="H4" s="61" t="s">
        <v>105</v>
      </c>
      <c r="I4" s="61" t="s">
        <v>351</v>
      </c>
      <c r="J4" s="61" t="s">
        <v>612</v>
      </c>
      <c r="K4" s="59" t="n">
        <v>4.2</v>
      </c>
      <c r="L4" s="59" t="n">
        <v>3785</v>
      </c>
      <c r="M4" s="61" t="s">
        <v>613</v>
      </c>
      <c r="N4" s="61" t="s">
        <v>402</v>
      </c>
      <c r="O4" s="61" t="n">
        <v>40.3235324</v>
      </c>
      <c r="P4" s="61" t="n">
        <v>-3.8746407</v>
      </c>
    </row>
    <row r="5" customFormat="false" ht="23.85" hidden="false" customHeight="false" outlineLevel="0" collapsed="false">
      <c r="A5" s="69" t="n">
        <v>4</v>
      </c>
      <c r="B5" s="70" t="s">
        <v>614</v>
      </c>
      <c r="C5" s="71" t="s">
        <v>615</v>
      </c>
      <c r="D5" s="71" t="s">
        <v>616</v>
      </c>
      <c r="E5" s="71" t="s">
        <v>617</v>
      </c>
      <c r="F5" s="72" t="n">
        <f aca="false">ROUND(6371*2*ASIN(SQRT(SIN(RADIANS(O5-Notas!$B$4)/2)^2+COS(RADIANS(Notas!$B$4))*COS(RADIANS(O5))*SIN(RADIANS(P5-Notas!$B$5)/2)^2)),1)</f>
        <v>20.8</v>
      </c>
      <c r="G5" s="71" t="s">
        <v>105</v>
      </c>
      <c r="H5" s="71" t="s">
        <v>105</v>
      </c>
      <c r="I5" s="71" t="s">
        <v>618</v>
      </c>
      <c r="J5" s="71" t="s">
        <v>619</v>
      </c>
      <c r="K5" s="69" t="n">
        <v>4.3</v>
      </c>
      <c r="L5" s="69" t="n">
        <v>319</v>
      </c>
      <c r="M5" s="71" t="s">
        <v>620</v>
      </c>
      <c r="N5" s="71" t="s">
        <v>402</v>
      </c>
      <c r="O5" s="71" t="n">
        <v>40.2407708</v>
      </c>
      <c r="P5" s="71" t="n">
        <v>-3.6887562</v>
      </c>
    </row>
    <row r="6" customFormat="false" ht="23.85" hidden="false" customHeight="false" outlineLevel="0" collapsed="false">
      <c r="A6" s="59" t="n">
        <v>5</v>
      </c>
      <c r="B6" s="60" t="s">
        <v>621</v>
      </c>
      <c r="C6" s="61" t="s">
        <v>46</v>
      </c>
      <c r="D6" s="61" t="s">
        <v>622</v>
      </c>
      <c r="E6" s="61" t="s">
        <v>623</v>
      </c>
      <c r="F6" s="62" t="n">
        <f aca="false">ROUND(6371*2*ASIN(SQRT(SIN(RADIANS(O6-Notas!$B$4)/2)^2+COS(RADIANS(Notas!$B$4))*COS(RADIANS(O6))*SIN(RADIANS(P6-Notas!$B$5)/2)^2)),1)</f>
        <v>21</v>
      </c>
      <c r="G6" s="61" t="s">
        <v>105</v>
      </c>
      <c r="H6" s="61" t="s">
        <v>105</v>
      </c>
      <c r="I6" s="61" t="s">
        <v>624</v>
      </c>
      <c r="J6" s="61" t="s">
        <v>625</v>
      </c>
      <c r="K6" s="59" t="n">
        <v>4.5</v>
      </c>
      <c r="L6" s="59" t="n">
        <v>301</v>
      </c>
      <c r="M6" s="61" t="s">
        <v>626</v>
      </c>
      <c r="N6" s="65" t="s">
        <v>627</v>
      </c>
      <c r="O6" s="61" t="n">
        <v>40.3263097</v>
      </c>
      <c r="P6" s="61" t="n">
        <v>-3.4668462</v>
      </c>
    </row>
    <row r="7" customFormat="false" ht="23.85" hidden="false" customHeight="false" outlineLevel="0" collapsed="false">
      <c r="A7" s="69" t="n">
        <v>6</v>
      </c>
      <c r="B7" s="70" t="s">
        <v>628</v>
      </c>
      <c r="C7" s="71" t="s">
        <v>629</v>
      </c>
      <c r="D7" s="71" t="s">
        <v>630</v>
      </c>
      <c r="E7" s="71" t="s">
        <v>631</v>
      </c>
      <c r="F7" s="72" t="n">
        <f aca="false">ROUND(6371*2*ASIN(SQRT(SIN(RADIANS(O7-Notas!$B$4)/2)^2+COS(RADIANS(Notas!$B$4))*COS(RADIANS(O7))*SIN(RADIANS(P7-Notas!$B$5)/2)^2)),1)</f>
        <v>21.1</v>
      </c>
      <c r="G7" s="71" t="s">
        <v>632</v>
      </c>
      <c r="H7" s="71" t="s">
        <v>633</v>
      </c>
      <c r="I7" s="71" t="s">
        <v>634</v>
      </c>
      <c r="J7" s="71" t="s">
        <v>635</v>
      </c>
      <c r="K7" s="69" t="n">
        <v>4.4</v>
      </c>
      <c r="L7" s="69" t="n">
        <v>556</v>
      </c>
      <c r="M7" s="71" t="s">
        <v>317</v>
      </c>
      <c r="N7" s="75" t="s">
        <v>636</v>
      </c>
      <c r="O7" s="71" t="n">
        <v>40.4913721</v>
      </c>
      <c r="P7" s="71" t="n">
        <v>-3.9104744</v>
      </c>
    </row>
    <row r="8" customFormat="false" ht="23.85" hidden="false" customHeight="false" outlineLevel="0" collapsed="false">
      <c r="A8" s="59" t="n">
        <v>7</v>
      </c>
      <c r="B8" s="60" t="s">
        <v>637</v>
      </c>
      <c r="C8" s="61" t="s">
        <v>638</v>
      </c>
      <c r="D8" s="61" t="s">
        <v>639</v>
      </c>
      <c r="E8" s="61" t="s">
        <v>640</v>
      </c>
      <c r="F8" s="62" t="n">
        <f aca="false">ROUND(6371*2*ASIN(SQRT(SIN(RADIANS(O8-Notas!$B$4)/2)^2+COS(RADIANS(Notas!$B$4))*COS(RADIANS(O8))*SIN(RADIANS(P8-Notas!$B$5)/2)^2)),1)</f>
        <v>21.4</v>
      </c>
      <c r="G8" s="61" t="s">
        <v>105</v>
      </c>
      <c r="H8" s="61" t="s">
        <v>641</v>
      </c>
      <c r="I8" s="61" t="s">
        <v>624</v>
      </c>
      <c r="J8" s="61" t="s">
        <v>642</v>
      </c>
      <c r="K8" s="59" t="n">
        <v>4.2</v>
      </c>
      <c r="L8" s="59" t="n">
        <v>412</v>
      </c>
      <c r="M8" s="61" t="s">
        <v>643</v>
      </c>
      <c r="N8" s="65" t="s">
        <v>644</v>
      </c>
      <c r="O8" s="61" t="n">
        <v>40.406813</v>
      </c>
      <c r="P8" s="61" t="n">
        <v>-3.4246814</v>
      </c>
    </row>
    <row r="9" customFormat="false" ht="23.85" hidden="false" customHeight="false" outlineLevel="0" collapsed="false">
      <c r="A9" s="69" t="n">
        <v>8</v>
      </c>
      <c r="B9" s="70" t="s">
        <v>645</v>
      </c>
      <c r="C9" s="71" t="s">
        <v>646</v>
      </c>
      <c r="D9" s="71" t="s">
        <v>647</v>
      </c>
      <c r="E9" s="71" t="s">
        <v>648</v>
      </c>
      <c r="F9" s="72" t="n">
        <f aca="false">ROUND(6371*2*ASIN(SQRT(SIN(RADIANS(O9-Notas!$B$4)/2)^2+COS(RADIANS(Notas!$B$4))*COS(RADIANS(O9))*SIN(RADIANS(P9-Notas!$B$5)/2)^2)),1)</f>
        <v>21.5</v>
      </c>
      <c r="G9" s="71" t="s">
        <v>105</v>
      </c>
      <c r="H9" s="71" t="s">
        <v>105</v>
      </c>
      <c r="I9" s="71" t="s">
        <v>624</v>
      </c>
      <c r="J9" s="71" t="s">
        <v>649</v>
      </c>
      <c r="K9" s="69" t="n">
        <v>4.6</v>
      </c>
      <c r="L9" s="69" t="n">
        <v>1859</v>
      </c>
      <c r="M9" s="71" t="s">
        <v>650</v>
      </c>
      <c r="N9" s="75" t="s">
        <v>651</v>
      </c>
      <c r="O9" s="71" t="n">
        <v>40.6063856</v>
      </c>
      <c r="P9" s="71" t="n">
        <v>-3.5782461</v>
      </c>
    </row>
    <row r="10" customFormat="false" ht="23.85" hidden="false" customHeight="false" outlineLevel="0" collapsed="false">
      <c r="A10" s="59" t="n">
        <v>9</v>
      </c>
      <c r="B10" s="60" t="s">
        <v>652</v>
      </c>
      <c r="C10" s="61" t="s">
        <v>46</v>
      </c>
      <c r="D10" s="61" t="s">
        <v>653</v>
      </c>
      <c r="E10" s="61" t="s">
        <v>654</v>
      </c>
      <c r="F10" s="62" t="n">
        <f aca="false">ROUND(6371*2*ASIN(SQRT(SIN(RADIANS(O10-Notas!$B$4)/2)^2+COS(RADIANS(Notas!$B$4))*COS(RADIANS(O10))*SIN(RADIANS(P10-Notas!$B$5)/2)^2)),1)</f>
        <v>22</v>
      </c>
      <c r="G10" s="61" t="s">
        <v>105</v>
      </c>
      <c r="H10" s="61" t="s">
        <v>105</v>
      </c>
      <c r="I10" s="61" t="s">
        <v>655</v>
      </c>
      <c r="J10" s="61" t="s">
        <v>656</v>
      </c>
      <c r="K10" s="59" t="n">
        <v>4.7</v>
      </c>
      <c r="L10" s="59" t="n">
        <v>237</v>
      </c>
      <c r="M10" s="61" t="s">
        <v>657</v>
      </c>
      <c r="N10" s="61" t="s">
        <v>402</v>
      </c>
      <c r="O10" s="61" t="n">
        <v>40.6078777</v>
      </c>
      <c r="P10" s="61" t="n">
        <v>-3.5696973</v>
      </c>
    </row>
    <row r="11" customFormat="false" ht="15" hidden="false" customHeight="false" outlineLevel="0" collapsed="false">
      <c r="A11" s="69" t="n">
        <v>10</v>
      </c>
      <c r="B11" s="70" t="s">
        <v>658</v>
      </c>
      <c r="C11" s="71" t="s">
        <v>546</v>
      </c>
      <c r="D11" s="71" t="s">
        <v>533</v>
      </c>
      <c r="E11" s="71" t="s">
        <v>659</v>
      </c>
      <c r="F11" s="72" t="n">
        <f aca="false">ROUND(6371*2*ASIN(SQRT(SIN(RADIANS(O11-Notas!$B$4)/2)^2+COS(RADIANS(Notas!$B$4))*COS(RADIANS(O11))*SIN(RADIANS(P11-Notas!$B$5)/2)^2)),1)</f>
        <v>22.2</v>
      </c>
      <c r="G11" s="71" t="s">
        <v>105</v>
      </c>
      <c r="H11" s="71" t="s">
        <v>105</v>
      </c>
      <c r="I11" s="71" t="s">
        <v>624</v>
      </c>
      <c r="J11" s="71" t="s">
        <v>660</v>
      </c>
      <c r="K11" s="69" t="n">
        <v>4.3</v>
      </c>
      <c r="L11" s="69" t="n">
        <v>3081</v>
      </c>
      <c r="M11" s="71" t="s">
        <v>661</v>
      </c>
      <c r="N11" s="75" t="s">
        <v>662</v>
      </c>
      <c r="O11" s="71" t="n">
        <v>40.5087343</v>
      </c>
      <c r="P11" s="71" t="n">
        <v>-3.9155392</v>
      </c>
    </row>
    <row r="12" customFormat="false" ht="23.85" hidden="false" customHeight="false" outlineLevel="0" collapsed="false">
      <c r="A12" s="59" t="n">
        <v>11</v>
      </c>
      <c r="B12" s="60" t="s">
        <v>663</v>
      </c>
      <c r="C12" s="61" t="s">
        <v>664</v>
      </c>
      <c r="D12" s="61" t="s">
        <v>665</v>
      </c>
      <c r="E12" s="61" t="s">
        <v>666</v>
      </c>
      <c r="F12" s="62" t="n">
        <f aca="false">ROUND(6371*2*ASIN(SQRT(SIN(RADIANS(O12-Notas!$B$4)/2)^2+COS(RADIANS(Notas!$B$4))*COS(RADIANS(O12))*SIN(RADIANS(P12-Notas!$B$5)/2)^2)),1)</f>
        <v>22.4</v>
      </c>
      <c r="G12" s="61" t="s">
        <v>105</v>
      </c>
      <c r="H12" s="61" t="s">
        <v>105</v>
      </c>
      <c r="I12" s="61" t="s">
        <v>667</v>
      </c>
      <c r="J12" s="61" t="s">
        <v>668</v>
      </c>
      <c r="K12" s="59" t="n">
        <v>4.6</v>
      </c>
      <c r="L12" s="59" t="n">
        <v>58</v>
      </c>
      <c r="M12" s="61" t="s">
        <v>669</v>
      </c>
      <c r="N12" s="61" t="s">
        <v>402</v>
      </c>
      <c r="O12" s="61" t="n">
        <v>40.3971699</v>
      </c>
      <c r="P12" s="61" t="n">
        <v>-3.9373318</v>
      </c>
    </row>
    <row r="13" customFormat="false" ht="23.85" hidden="false" customHeight="false" outlineLevel="0" collapsed="false">
      <c r="A13" s="69" t="n">
        <v>12</v>
      </c>
      <c r="B13" s="70" t="s">
        <v>670</v>
      </c>
      <c r="C13" s="71" t="s">
        <v>671</v>
      </c>
      <c r="D13" s="71" t="s">
        <v>630</v>
      </c>
      <c r="E13" s="71" t="s">
        <v>672</v>
      </c>
      <c r="F13" s="72" t="n">
        <f aca="false">ROUND(6371*2*ASIN(SQRT(SIN(RADIANS(O13-Notas!$B$4)/2)^2+COS(RADIANS(Notas!$B$4))*COS(RADIANS(O13))*SIN(RADIANS(P13-Notas!$B$5)/2)^2)),1)</f>
        <v>22.9</v>
      </c>
      <c r="G13" s="71" t="s">
        <v>105</v>
      </c>
      <c r="H13" s="71" t="s">
        <v>105</v>
      </c>
      <c r="I13" s="71" t="s">
        <v>624</v>
      </c>
      <c r="J13" s="71" t="s">
        <v>673</v>
      </c>
      <c r="K13" s="69" t="n">
        <v>4.4</v>
      </c>
      <c r="L13" s="69" t="n">
        <v>1227</v>
      </c>
      <c r="M13" s="71" t="s">
        <v>674</v>
      </c>
      <c r="N13" s="75" t="s">
        <v>675</v>
      </c>
      <c r="O13" s="71" t="n">
        <v>40.485652</v>
      </c>
      <c r="P13" s="71" t="n">
        <v>-3.9358984</v>
      </c>
    </row>
    <row r="14" customFormat="false" ht="23.85" hidden="false" customHeight="false" outlineLevel="0" collapsed="false">
      <c r="A14" s="59" t="n">
        <v>13</v>
      </c>
      <c r="B14" s="60" t="s">
        <v>676</v>
      </c>
      <c r="C14" s="61" t="s">
        <v>384</v>
      </c>
      <c r="D14" s="61" t="s">
        <v>677</v>
      </c>
      <c r="E14" s="61" t="s">
        <v>678</v>
      </c>
      <c r="F14" s="62" t="n">
        <f aca="false">ROUND(6371*2*ASIN(SQRT(SIN(RADIANS(O14-Notas!$B$4)/2)^2+COS(RADIANS(Notas!$B$4))*COS(RADIANS(O14))*SIN(RADIANS(P14-Notas!$B$5)/2)^2)),1)</f>
        <v>23.2</v>
      </c>
      <c r="G14" s="61" t="s">
        <v>679</v>
      </c>
      <c r="H14" s="61" t="s">
        <v>680</v>
      </c>
      <c r="I14" s="61" t="s">
        <v>681</v>
      </c>
      <c r="J14" s="61" t="s">
        <v>682</v>
      </c>
      <c r="K14" s="59" t="n">
        <v>4.5</v>
      </c>
      <c r="L14" s="59" t="n">
        <v>251</v>
      </c>
      <c r="M14" s="61" t="s">
        <v>683</v>
      </c>
      <c r="N14" s="65" t="s">
        <v>684</v>
      </c>
      <c r="O14" s="61" t="n">
        <v>40.6263654</v>
      </c>
      <c r="P14" s="61" t="n">
        <v>-3.5929698</v>
      </c>
    </row>
  </sheetData>
  <autoFilter ref="A1:P14"/>
  <hyperlinks>
    <hyperlink ref="N2" r:id="rId1" display="https://www.bodas.net/castillos/castillo-de-vinuelas-life-gourmet-catering--e184062"/>
    <hyperlink ref="N6" r:id="rId2" display="https://www.bodas.net/bodas/banquetes/fincas/madrid/rivas-vaciamadrid"/>
    <hyperlink ref="N7" r:id="rId3" display="https://www.bodas.net/fincas/el-cortijo-de-monico--e8570"/>
    <hyperlink ref="N8" r:id="rId4" display="https://www.bodas.net/fincas/complejo-cervantes--e3033"/>
    <hyperlink ref="N9" r:id="rId5" display="https://www.bodas.net/fincas/la-quinta-de-jarama--e2565"/>
    <hyperlink ref="N11" r:id="rId6" display="https://www.bodas.net/fincas/gaztelubide-las-rozas--e2010"/>
    <hyperlink ref="N13" r:id="rId7" display="https://www.bodas.net/fincas/hacienda-chapoo--e173041"/>
    <hyperlink ref="N14" r:id="rId8" display="https://www.bodas.net/fincas/real-club-de-golf-del-race--e23587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40"/>
    <col collapsed="false" customWidth="true" hidden="false" outlineLevel="0" max="16" min="15" style="0" width="11"/>
  </cols>
  <sheetData>
    <row r="1" customFormat="false" ht="36" hidden="false" customHeight="true" outlineLevel="0" collapsed="false">
      <c r="A1" s="58" t="s">
        <v>22</v>
      </c>
      <c r="B1" s="58" t="s">
        <v>81</v>
      </c>
      <c r="C1" s="58" t="s">
        <v>62</v>
      </c>
      <c r="D1" s="58" t="s">
        <v>82</v>
      </c>
      <c r="E1" s="58" t="s">
        <v>64</v>
      </c>
      <c r="F1" s="58" t="s">
        <v>83</v>
      </c>
      <c r="G1" s="58" t="s">
        <v>85</v>
      </c>
      <c r="H1" s="58" t="s">
        <v>65</v>
      </c>
      <c r="I1" s="58" t="s">
        <v>17</v>
      </c>
      <c r="J1" s="58" t="s">
        <v>76</v>
      </c>
      <c r="K1" s="58" t="s">
        <v>90</v>
      </c>
      <c r="L1" s="58" t="s">
        <v>91</v>
      </c>
      <c r="M1" s="58" t="s">
        <v>77</v>
      </c>
      <c r="N1" s="58" t="s">
        <v>591</v>
      </c>
      <c r="O1" s="58" t="s">
        <v>95</v>
      </c>
      <c r="P1" s="58" t="s">
        <v>96</v>
      </c>
    </row>
    <row r="2" customFormat="false" ht="23.85" hidden="false" customHeight="false" outlineLevel="0" collapsed="false">
      <c r="A2" s="59" t="n">
        <v>1</v>
      </c>
      <c r="B2" s="60" t="s">
        <v>685</v>
      </c>
      <c r="C2" s="61" t="s">
        <v>686</v>
      </c>
      <c r="D2" s="61" t="s">
        <v>687</v>
      </c>
      <c r="E2" s="61" t="s">
        <v>688</v>
      </c>
      <c r="F2" s="62" t="n">
        <f aca="false">ROUND(6371*2*ASIN(SQRT(SIN(RADIANS(O2-Notas!$B$4)/2)^2+COS(RADIANS(Notas!$B$4))*COS(RADIANS(O2))*SIN(RADIANS(P2-Notas!$B$5)/2)^2)),1)</f>
        <v>1</v>
      </c>
      <c r="G2" s="61" t="s">
        <v>419</v>
      </c>
      <c r="H2" s="61" t="s">
        <v>512</v>
      </c>
      <c r="I2" s="61" t="s">
        <v>145</v>
      </c>
      <c r="J2" s="61" t="s">
        <v>689</v>
      </c>
      <c r="K2" s="59"/>
      <c r="L2" s="59"/>
      <c r="M2" s="61" t="s">
        <v>148</v>
      </c>
      <c r="N2" s="65" t="s">
        <v>690</v>
      </c>
      <c r="O2" s="61" t="n">
        <v>40.432</v>
      </c>
      <c r="P2" s="61" t="n">
        <v>-3.6866</v>
      </c>
    </row>
    <row r="3" customFormat="false" ht="23.85" hidden="false" customHeight="false" outlineLevel="0" collapsed="false">
      <c r="A3" s="69" t="n">
        <v>2</v>
      </c>
      <c r="B3" s="70" t="s">
        <v>691</v>
      </c>
      <c r="C3" s="71" t="s">
        <v>692</v>
      </c>
      <c r="D3" s="71" t="s">
        <v>693</v>
      </c>
      <c r="E3" s="71" t="s">
        <v>694</v>
      </c>
      <c r="F3" s="72" t="n">
        <f aca="false">ROUND(6371*2*ASIN(SQRT(SIN(RADIANS(O3-Notas!$B$4)/2)^2+COS(RADIANS(Notas!$B$4))*COS(RADIANS(O3))*SIN(RADIANS(P3-Notas!$B$5)/2)^2)),1)</f>
        <v>6.8</v>
      </c>
      <c r="G3" s="71" t="s">
        <v>105</v>
      </c>
      <c r="H3" s="71" t="s">
        <v>105</v>
      </c>
      <c r="I3" s="71" t="s">
        <v>695</v>
      </c>
      <c r="J3" s="71" t="s">
        <v>696</v>
      </c>
      <c r="K3" s="69" t="n">
        <v>2.8</v>
      </c>
      <c r="L3" s="69" t="n">
        <v>26</v>
      </c>
      <c r="M3" s="71" t="s">
        <v>697</v>
      </c>
      <c r="N3" s="75" t="s">
        <v>698</v>
      </c>
      <c r="O3" s="71" t="n">
        <v>40.391422</v>
      </c>
      <c r="P3" s="71" t="n">
        <v>-3.6107702</v>
      </c>
    </row>
    <row r="4" customFormat="false" ht="35.05" hidden="false" customHeight="false" outlineLevel="0" collapsed="false">
      <c r="A4" s="59" t="n">
        <v>3</v>
      </c>
      <c r="B4" s="60" t="s">
        <v>699</v>
      </c>
      <c r="C4" s="61" t="s">
        <v>700</v>
      </c>
      <c r="D4" s="61" t="s">
        <v>385</v>
      </c>
      <c r="E4" s="61" t="s">
        <v>701</v>
      </c>
      <c r="F4" s="62" t="n">
        <f aca="false">ROUND(6371*2*ASIN(SQRT(SIN(RADIANS(O4-Notas!$B$4)/2)^2+COS(RADIANS(Notas!$B$4))*COS(RADIANS(O4))*SIN(RADIANS(P4-Notas!$B$5)/2)^2)),1)</f>
        <v>9.8</v>
      </c>
      <c r="G4" s="61" t="s">
        <v>105</v>
      </c>
      <c r="H4" s="61" t="s">
        <v>105</v>
      </c>
      <c r="I4" s="61" t="s">
        <v>351</v>
      </c>
      <c r="J4" s="61" t="s">
        <v>702</v>
      </c>
      <c r="K4" s="59" t="n">
        <v>4.2</v>
      </c>
      <c r="L4" s="59" t="n">
        <v>1303</v>
      </c>
      <c r="M4" s="61" t="s">
        <v>703</v>
      </c>
      <c r="N4" s="65" t="s">
        <v>704</v>
      </c>
      <c r="O4" s="61" t="n">
        <v>40.5143701</v>
      </c>
      <c r="P4" s="61" t="n">
        <v>-3.6534396</v>
      </c>
    </row>
    <row r="5" customFormat="false" ht="23.85" hidden="false" customHeight="false" outlineLevel="0" collapsed="false">
      <c r="A5" s="69" t="n">
        <v>4</v>
      </c>
      <c r="B5" s="70" t="s">
        <v>705</v>
      </c>
      <c r="C5" s="71" t="s">
        <v>706</v>
      </c>
      <c r="D5" s="71" t="s">
        <v>707</v>
      </c>
      <c r="E5" s="71" t="s">
        <v>708</v>
      </c>
      <c r="F5" s="72" t="n">
        <f aca="false">ROUND(6371*2*ASIN(SQRT(SIN(RADIANS(O5-Notas!$B$4)/2)^2+COS(RADIANS(Notas!$B$4))*COS(RADIANS(O5))*SIN(RADIANS(P5-Notas!$B$5)/2)^2)),1)</f>
        <v>10.2</v>
      </c>
      <c r="G5" s="71" t="s">
        <v>105</v>
      </c>
      <c r="H5" s="71" t="s">
        <v>709</v>
      </c>
      <c r="I5" s="71" t="s">
        <v>351</v>
      </c>
      <c r="J5" s="71" t="s">
        <v>710</v>
      </c>
      <c r="K5" s="69" t="n">
        <v>4</v>
      </c>
      <c r="L5" s="69" t="n">
        <v>299</v>
      </c>
      <c r="M5" s="71" t="s">
        <v>711</v>
      </c>
      <c r="N5" s="71" t="s">
        <v>402</v>
      </c>
      <c r="O5" s="71" t="n">
        <v>40.4498837</v>
      </c>
      <c r="P5" s="71" t="n">
        <v>-3.5592259</v>
      </c>
    </row>
    <row r="6" customFormat="false" ht="23.85" hidden="false" customHeight="false" outlineLevel="0" collapsed="false">
      <c r="A6" s="59" t="n">
        <v>5</v>
      </c>
      <c r="B6" s="60" t="s">
        <v>712</v>
      </c>
      <c r="C6" s="61" t="s">
        <v>713</v>
      </c>
      <c r="D6" s="61" t="s">
        <v>398</v>
      </c>
      <c r="E6" s="61" t="s">
        <v>714</v>
      </c>
      <c r="F6" s="62" t="n">
        <f aca="false">ROUND(6371*2*ASIN(SQRT(SIN(RADIANS(O6-Notas!$B$4)/2)^2+COS(RADIANS(Notas!$B$4))*COS(RADIANS(O6))*SIN(RADIANS(P6-Notas!$B$5)/2)^2)),1)</f>
        <v>12.6</v>
      </c>
      <c r="G6" s="61" t="s">
        <v>333</v>
      </c>
      <c r="H6" s="61" t="s">
        <v>715</v>
      </c>
      <c r="I6" s="61" t="s">
        <v>716</v>
      </c>
      <c r="J6" s="61" t="s">
        <v>717</v>
      </c>
      <c r="K6" s="59" t="n">
        <v>4</v>
      </c>
      <c r="L6" s="59" t="n">
        <v>4</v>
      </c>
      <c r="M6" s="61" t="s">
        <v>718</v>
      </c>
      <c r="N6" s="65" t="s">
        <v>719</v>
      </c>
      <c r="O6" s="61" t="n">
        <v>40.5392156</v>
      </c>
      <c r="P6" s="61" t="n">
        <v>-3.6485195</v>
      </c>
    </row>
    <row r="7" customFormat="false" ht="23.85" hidden="false" customHeight="false" outlineLevel="0" collapsed="false">
      <c r="A7" s="69" t="n">
        <v>6</v>
      </c>
      <c r="B7" s="70" t="s">
        <v>720</v>
      </c>
      <c r="C7" s="71" t="s">
        <v>721</v>
      </c>
      <c r="D7" s="71" t="s">
        <v>722</v>
      </c>
      <c r="E7" s="71" t="s">
        <v>723</v>
      </c>
      <c r="F7" s="72" t="n">
        <f aca="false">ROUND(6371*2*ASIN(SQRT(SIN(RADIANS(O7-Notas!$B$4)/2)^2+COS(RADIANS(Notas!$B$4))*COS(RADIANS(O7))*SIN(RADIANS(P7-Notas!$B$5)/2)^2)),1)</f>
        <v>14.7</v>
      </c>
      <c r="G7" s="71" t="s">
        <v>105</v>
      </c>
      <c r="H7" s="71" t="s">
        <v>105</v>
      </c>
      <c r="I7" s="71" t="s">
        <v>351</v>
      </c>
      <c r="J7" s="71" t="s">
        <v>724</v>
      </c>
      <c r="K7" s="69" t="n">
        <v>4.2</v>
      </c>
      <c r="L7" s="69" t="n">
        <v>412</v>
      </c>
      <c r="M7" s="71" t="s">
        <v>725</v>
      </c>
      <c r="N7" s="71" t="s">
        <v>402</v>
      </c>
      <c r="O7" s="71" t="n">
        <v>40.3979005</v>
      </c>
      <c r="P7" s="71" t="n">
        <v>-3.5070196</v>
      </c>
    </row>
  </sheetData>
  <autoFilter ref="A1:P7"/>
  <hyperlinks>
    <hyperlink ref="N2" r:id="rId1" display="https://www.bodas.net/salones-de-boda/abc-espacio--e171015"/>
    <hyperlink ref="N3" r:id="rId2" display="https://www.bodas.net/fincas/faunia--e3103"/>
    <hyperlink ref="N4" r:id="rId3" display="https://www.bodas.net/bodas/banquetes/madrid/alcobendas"/>
    <hyperlink ref="N6" r:id="rId4" display="https://www.bodas.net/fincas/la-industrial-de-la-blonda--e26676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79" t="s">
        <v>726</v>
      </c>
    </row>
    <row r="3" customFormat="false" ht="15" hidden="false" customHeight="false" outlineLevel="0" collapsed="false">
      <c r="A3" s="80" t="s">
        <v>727</v>
      </c>
      <c r="B3" s="81" t="s">
        <v>728</v>
      </c>
    </row>
    <row r="4" customFormat="false" ht="15" hidden="false" customHeight="false" outlineLevel="0" collapsed="false">
      <c r="A4" s="80" t="s">
        <v>729</v>
      </c>
      <c r="B4" s="82" t="n">
        <v>40.4276108</v>
      </c>
      <c r="C4" s="83" t="s">
        <v>730</v>
      </c>
    </row>
    <row r="5" customFormat="false" ht="15" hidden="false" customHeight="false" outlineLevel="0" collapsed="false">
      <c r="A5" s="80" t="s">
        <v>731</v>
      </c>
      <c r="B5" s="82" t="n">
        <v>-3.6761136</v>
      </c>
    </row>
    <row r="6" customFormat="false" ht="15" hidden="false" customHeight="false" outlineLevel="0" collapsed="false">
      <c r="A6" s="80" t="s">
        <v>732</v>
      </c>
      <c r="B6" s="84" t="n">
        <v>20</v>
      </c>
      <c r="C6" s="83" t="s">
        <v>733</v>
      </c>
    </row>
    <row r="7" customFormat="false" ht="15" hidden="false" customHeight="false" outlineLevel="0" collapsed="false">
      <c r="A7" s="80" t="s">
        <v>734</v>
      </c>
      <c r="B7" s="84" t="n">
        <v>120</v>
      </c>
      <c r="C7" s="83" t="s">
        <v>735</v>
      </c>
    </row>
    <row r="8" customFormat="false" ht="15" hidden="false" customHeight="false" outlineLevel="0" collapsed="false">
      <c r="A8" s="80" t="s">
        <v>40</v>
      </c>
      <c r="B8" s="84" t="n">
        <v>1.3</v>
      </c>
      <c r="C8" s="83" t="s">
        <v>736</v>
      </c>
    </row>
    <row r="9" customFormat="false" ht="15" hidden="false" customHeight="false" outlineLevel="0" collapsed="false">
      <c r="A9" s="80" t="s">
        <v>737</v>
      </c>
      <c r="B9" s="84" t="n">
        <v>40</v>
      </c>
      <c r="C9" s="83" t="s">
        <v>738</v>
      </c>
    </row>
    <row r="11" customFormat="false" ht="15" hidden="false" customHeight="false" outlineLevel="0" collapsed="false">
      <c r="A11" s="85" t="s">
        <v>739</v>
      </c>
    </row>
    <row r="12" customFormat="false" ht="15" hidden="false" customHeight="false" outlineLevel="0" collapsed="false">
      <c r="A12" s="81" t="s">
        <v>740</v>
      </c>
      <c r="B12" s="86" t="n">
        <f aca="false">COUNTA('Fincas 20 km'!B2:B39)</f>
        <v>38</v>
      </c>
    </row>
    <row r="13" customFormat="false" ht="15" hidden="false" customHeight="false" outlineLevel="0" collapsed="false">
      <c r="A13" s="81" t="s">
        <v>741</v>
      </c>
      <c r="B13" s="86" t="n">
        <f aca="false">COUNTIF('Fincas 20 km'!G2:G39,"Sí")</f>
        <v>38</v>
      </c>
    </row>
    <row r="14" customFormat="false" ht="15" hidden="false" customHeight="false" outlineLevel="0" collapsed="false">
      <c r="A14" s="81" t="s">
        <v>742</v>
      </c>
      <c r="B14" s="86" t="n">
        <f aca="false">COUNT('Fincas 20 km'!I2:I39)</f>
        <v>25</v>
      </c>
    </row>
    <row r="15" customFormat="false" ht="15" hidden="false" customHeight="false" outlineLevel="0" collapsed="false">
      <c r="A15" s="81" t="s">
        <v>743</v>
      </c>
      <c r="B15" s="86" t="n">
        <f aca="false">MIN('Fincas 20 km'!I2:I39)</f>
        <v>50</v>
      </c>
    </row>
    <row r="16" customFormat="false" ht="15" hidden="false" customHeight="false" outlineLevel="0" collapsed="false">
      <c r="A16" s="81" t="s">
        <v>744</v>
      </c>
      <c r="B16" s="86" t="n">
        <f aca="false">ROUND(AVERAGE('Fincas 20 km'!I2:I39),0)</f>
        <v>123</v>
      </c>
    </row>
    <row r="17" customFormat="false" ht="15" hidden="false" customHeight="false" outlineLevel="0" collapsed="false">
      <c r="A17" s="81" t="s">
        <v>745</v>
      </c>
      <c r="B17" s="86" t="n">
        <f aca="false">MAX('Fincas 20 km'!I2:I39)</f>
        <v>185</v>
      </c>
    </row>
    <row r="18" customFormat="false" ht="15" hidden="false" customHeight="false" outlineLevel="0" collapsed="false">
      <c r="A18" s="81" t="s">
        <v>746</v>
      </c>
      <c r="B18" s="87" t="n">
        <f aca="false">ROUND(AVERAGE('Fincas 20 km'!J2:J39),0)</f>
        <v>14784</v>
      </c>
    </row>
    <row r="19" customFormat="false" ht="15" hidden="false" customHeight="false" outlineLevel="0" collapsed="false">
      <c r="A19" s="81" t="s">
        <v>747</v>
      </c>
      <c r="B19" s="86" t="n">
        <f aca="false">COUNTIF('Fincas 20 km'!O2:O39,"No*")</f>
        <v>31</v>
      </c>
    </row>
    <row r="20" customFormat="false" ht="15" hidden="false" customHeight="false" outlineLevel="0" collapsed="false">
      <c r="A20" s="81" t="s">
        <v>748</v>
      </c>
      <c r="B20" s="86" t="n">
        <f aca="false">COUNTIF('Fincas 20 km'!O2:O39,"Posib*")+COUNTIF('Fincas 20 km'!O2:O39,"Proba*")+COUNTIF('Fincas 20 km'!O2:O39,"Lista*")+COUNTIF('Fincas 20 km'!O2:O39,"Sí*")</f>
        <v>3</v>
      </c>
    </row>
    <row r="21" customFormat="false" ht="15" hidden="false" customHeight="false" outlineLevel="0" collapsed="false">
      <c r="A21" s="81" t="s">
        <v>749</v>
      </c>
      <c r="B21" s="86" t="n">
        <f aca="false">COUNTIF('Fincas 20 km'!O2:O39,"Consultar*")</f>
        <v>4</v>
      </c>
    </row>
    <row r="22" customFormat="false" ht="15" hidden="false" customHeight="false" outlineLevel="0" collapsed="false">
      <c r="A22" s="81" t="s">
        <v>750</v>
      </c>
      <c r="B22" s="86" t="n">
        <f aca="false">COUNTIF('Fincas 20 km'!Q2:Q39,"Varios")</f>
        <v>33</v>
      </c>
    </row>
    <row r="23" customFormat="false" ht="15" hidden="false" customHeight="false" outlineLevel="0" collapsed="false">
      <c r="A23" s="81" t="s">
        <v>751</v>
      </c>
      <c r="B23" s="86" t="n">
        <f aca="false">COUNTIF('Fincas 20 km'!U2:U39,"Sí*")</f>
        <v>4</v>
      </c>
    </row>
    <row r="24" customFormat="false" ht="15" hidden="false" customHeight="false" outlineLevel="0" collapsed="false">
      <c r="A24" s="81" t="s">
        <v>752</v>
      </c>
      <c r="B24" s="86" t="n">
        <f aca="false">COUNTIF('Fincas 20 km'!S2:S39,"Sí*")</f>
        <v>5</v>
      </c>
    </row>
    <row r="25" customFormat="false" ht="15" hidden="false" customHeight="false" outlineLevel="0" collapsed="false">
      <c r="A25" s="81" t="s">
        <v>753</v>
      </c>
      <c r="B25" s="86" t="n">
        <f aca="false">COUNTA('Justo fuera 20-24 km'!B2:B14)</f>
        <v>13</v>
      </c>
    </row>
    <row r="26" customFormat="false" ht="15" hidden="false" customHeight="false" outlineLevel="0" collapsed="false">
      <c r="A26" s="81" t="s">
        <v>754</v>
      </c>
      <c r="B26" s="86" t="n">
        <f aca="false">COUNTA('Otros espacios'!B2:B7)</f>
        <v>6</v>
      </c>
    </row>
    <row r="28" customFormat="false" ht="15" hidden="false" customHeight="false" outlineLevel="0" collapsed="false">
      <c r="A28" s="80" t="s">
        <v>755</v>
      </c>
    </row>
    <row r="29" customFormat="false" ht="15" hidden="false" customHeight="false" outlineLevel="0" collapsed="false">
      <c r="A29" s="81" t="s">
        <v>756</v>
      </c>
    </row>
    <row r="30" customFormat="false" ht="15" hidden="false" customHeight="false" outlineLevel="0" collapsed="false">
      <c r="A30" s="81" t="s">
        <v>757</v>
      </c>
    </row>
    <row r="31" customFormat="false" ht="15" hidden="false" customHeight="false" outlineLevel="0" collapsed="false">
      <c r="A31" s="81" t="s">
        <v>758</v>
      </c>
    </row>
    <row r="32" customFormat="false" ht="15" hidden="false" customHeight="false" outlineLevel="0" collapsed="false">
      <c r="A32" s="81" t="s">
        <v>759</v>
      </c>
    </row>
    <row r="33" customFormat="false" ht="15" hidden="false" customHeight="false" outlineLevel="0" collapsed="false">
      <c r="A33" s="81" t="s">
        <v>760</v>
      </c>
    </row>
    <row r="34" customFormat="false" ht="15" hidden="false" customHeight="false" outlineLevel="0" collapsed="false">
      <c r="A34" s="81"/>
    </row>
    <row r="35" customFormat="false" ht="15" hidden="false" customHeight="false" outlineLevel="0" collapsed="false">
      <c r="A35" s="80" t="s">
        <v>761</v>
      </c>
    </row>
    <row r="36" customFormat="false" ht="15" hidden="false" customHeight="false" outlineLevel="0" collapsed="false">
      <c r="A36" s="81" t="s">
        <v>762</v>
      </c>
    </row>
    <row r="37" customFormat="false" ht="15" hidden="false" customHeight="false" outlineLevel="0" collapsed="false">
      <c r="A37" s="81"/>
    </row>
    <row r="38" customFormat="false" ht="15" hidden="false" customHeight="false" outlineLevel="0" collapsed="false">
      <c r="A38" s="80" t="s">
        <v>763</v>
      </c>
    </row>
    <row r="39" customFormat="false" ht="15" hidden="false" customHeight="false" outlineLevel="0" collapsed="false">
      <c r="A39" s="81" t="s">
        <v>764</v>
      </c>
    </row>
    <row r="40" customFormat="false" ht="15" hidden="false" customHeight="false" outlineLevel="0" collapsed="false">
      <c r="A40" s="81" t="s">
        <v>765</v>
      </c>
    </row>
    <row r="41" customFormat="false" ht="15" hidden="false" customHeight="false" outlineLevel="0" collapsed="false">
      <c r="A41" s="81" t="s">
        <v>766</v>
      </c>
    </row>
    <row r="42" customFormat="false" ht="15" hidden="false" customHeight="false" outlineLevel="0" collapsed="false">
      <c r="A42" s="81" t="s">
        <v>767</v>
      </c>
    </row>
    <row r="43" customFormat="false" ht="15" hidden="false" customHeight="false" outlineLevel="0" collapsed="false">
      <c r="A43" s="81" t="s">
        <v>768</v>
      </c>
    </row>
    <row r="44" customFormat="false" ht="15" hidden="false" customHeight="false" outlineLevel="0" collapsed="false">
      <c r="A44" s="81" t="s">
        <v>769</v>
      </c>
    </row>
    <row r="45" customFormat="false" ht="15" hidden="false" customHeight="false" outlineLevel="0" collapsed="false">
      <c r="A45" s="81" t="s">
        <v>770</v>
      </c>
    </row>
    <row r="46" customFormat="false" ht="15" hidden="false" customHeight="false" outlineLevel="0" collapsed="false">
      <c r="A46" s="81" t="s">
        <v>771</v>
      </c>
    </row>
    <row r="47" customFormat="false" ht="15" hidden="false" customHeight="false" outlineLevel="0" collapsed="false">
      <c r="A47" s="81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2026-10-26T02:21:52Z</dcterms:created>
  <dc:creator>openpyxl</dc:creator>
  <dc:description/>
  <dc:language>en-US</dc:language>
  <cp:lastModifiedBy/>
  <dcterms:modified xsi:type="dcterms:W3CDTF">2026-10-26T02:21:55Z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